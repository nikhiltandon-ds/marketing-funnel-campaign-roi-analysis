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13c290499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7e31dafbbd148ed"/>
    <x:sheet xmlns:r="http://schemas.openxmlformats.org/officeDocument/2006/relationships" name="Channel Analysis" sheetId="2" r:id="Rda47f58c7a9b4bcd"/>
    <x:sheet xmlns:r="http://schemas.openxmlformats.org/officeDocument/2006/relationships" name="Campaign Analysis" sheetId="3" r:id="R7e656dab3da146af"/>
    <x:sheet xmlns:r="http://schemas.openxmlformats.org/officeDocument/2006/relationships" name="Budget Scenario" sheetId="4" r:id="R88903908ee99496b"/>
    <x:sheet xmlns:r="http://schemas.openxmlformats.org/officeDocument/2006/relationships" name="Campaign Data" sheetId="5" r:id="R87aa33c5086a403e"/>
    <x:sheet xmlns:r="http://schemas.openxmlformats.org/officeDocument/2006/relationships" name="Sources" sheetId="6" r:id="R4dc47737195549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"/>
    <x:numFmt numFmtId="202" formatCode="#,##0"/>
    <x:numFmt numFmtId="203" formatCode="0.0%"/>
    <x:numFmt numFmtId="204" formatCode="0.00x"/>
    <x:numFmt numFmtId="205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E293B"/>
      <x:name val="Carlito"/>
    </x:font>
    <x:font>
      <x:sz val="11"/>
      <x:color rgb="FF1E293B"/>
      <x:name val="Carlito"/>
    </x:font>
    <x:font>
      <x:b/>
      <x:sz val="18"/>
      <x:color rgb="FFFFFFFF"/>
      <x:name val="Carlito"/>
    </x:font>
    <x:font>
      <x:b/>
      <x:sz val="20"/>
      <x:color rgb="FF1E293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20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 wrapText="0"/>
    </x:xf>
    <x:xf numFmtId="202" fontId="0" fillId="0" borderId="0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4" fontId="0" fillId="0" borderId="0" xfId="0" applyNumberFormat="1" applyFont="1" applyFill="1" applyBorder="1" applyAlignment="1">
      <x:alignment wrapText="0"/>
    </x:xf>
    <x:xf numFmtId="0" fontId="1" fillId="4" borderId="1" xfId="0" applyNumberFormat="1" applyFont="1" applyFill="1" applyBorder="1" applyAlignment="1">
      <x:alignment horizontal="center"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204" fontId="0" fillId="0" borderId="1" xfId="0" applyNumberFormat="1" applyFont="1" applyFill="1" applyBorder="1" applyAlignment="1">
      <x:alignment wrapText="0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/>
    <x:xf numFmtId="201" fontId="6" fillId="3" borderId="0" xfId="0" applyNumberFormat="1" applyFont="1" applyFill="1" applyBorder="1"/>
    <x:xf numFmtId="201" fontId="6" fillId="3" borderId="0" xfId="0" applyNumberFormat="1" applyFont="1" applyFill="1" applyBorder="1" applyAlignment="1">
      <x:alignment horizontal="center"/>
    </x:xf>
    <x:xf numFmtId="201" fontId="6" fillId="3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/>
    <x:xf numFmtId="201" fontId="6" fillId="3" borderId="1" xfId="0" applyNumberFormat="1" applyFont="1" applyFill="1" applyBorder="1"/>
    <x:xf numFmtId="201" fontId="6" fillId="3" borderId="1" xfId="0" applyNumberFormat="1" applyFont="1" applyFill="1" applyBorder="1" applyAlignment="1">
      <x:alignment horizontal="center"/>
    </x:xf>
    <x:xf numFmtId="201" fontId="6" fillId="3" borderId="1" xfId="0" applyNumberFormat="1" applyFont="1" applyFill="1" applyBorder="1" applyAlignment="1">
      <x:alignment horizontal="center" vertical="center"/>
    </x:xf>
    <x:xf numFmtId="204" fontId="6" fillId="3" borderId="0" xfId="0" applyNumberFormat="1" applyFont="1" applyFill="1" applyBorder="1"/>
    <x:xf numFmtId="204" fontId="6" fillId="3" borderId="0" xfId="0" applyNumberFormat="1" applyFont="1" applyFill="1" applyBorder="1" applyAlignment="1">
      <x:alignment horizontal="center"/>
    </x:xf>
    <x:xf numFmtId="204" fontId="6" fillId="3" borderId="0" xfId="0" applyNumberFormat="1" applyFont="1" applyFill="1" applyBorder="1" applyAlignment="1">
      <x:alignment horizontal="center" vertical="center"/>
    </x:xf>
    <x:xf numFmtId="204" fontId="6" fillId="3" borderId="1" xfId="0" applyNumberFormat="1" applyFont="1" applyFill="1" applyBorder="1"/>
    <x:xf numFmtId="204" fontId="6" fillId="3" borderId="1" xfId="0" applyNumberFormat="1" applyFont="1" applyFill="1" applyBorder="1" applyAlignment="1">
      <x:alignment horizontal="center"/>
    </x:xf>
    <x:xf numFmtId="204" fontId="6" fillId="3" borderId="1" xfId="0" applyNumberFormat="1" applyFont="1" applyFill="1" applyBorder="1" applyAlignment="1">
      <x:alignment horizontal="center" vertical="center"/>
    </x:xf>
    <x:xf numFmtId="202" fontId="6" fillId="3" borderId="0" xfId="0" applyNumberFormat="1" applyFont="1" applyFill="1" applyBorder="1"/>
    <x:xf numFmtId="202" fontId="6" fillId="3" borderId="0" xfId="0" applyNumberFormat="1" applyFont="1" applyFill="1" applyBorder="1" applyAlignment="1">
      <x:alignment horizontal="center"/>
    </x:xf>
    <x:xf numFmtId="202" fontId="6" fillId="3" borderId="0" xfId="0" applyNumberFormat="1" applyFont="1" applyFill="1" applyBorder="1" applyAlignment="1">
      <x:alignment horizontal="center" vertical="center"/>
    </x:xf>
    <x:xf numFmtId="202" fontId="6" fillId="3" borderId="1" xfId="0" applyNumberFormat="1" applyFont="1" applyFill="1" applyBorder="1"/>
    <x:xf numFmtId="202" fontId="6" fillId="3" borderId="1" xfId="0" applyNumberFormat="1" applyFont="1" applyFill="1" applyBorder="1" applyAlignment="1">
      <x:alignment horizontal="center"/>
    </x:xf>
    <x:xf numFmtId="202" fontId="6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8e610e19144f7" /><Relationship Type="http://schemas.openxmlformats.org/officeDocument/2006/relationships/theme" Target="/xl/theme/theme1.xml" Id="R6ab6c37b7b794fa1" /><Relationship Type="http://schemas.openxmlformats.org/officeDocument/2006/relationships/sharedStrings" Target="/xl/sharedStrings.xml" Id="R42f5358f252e4979" /><Relationship Type="http://schemas.openxmlformats.org/officeDocument/2006/relationships/worksheet" Target="/xl/worksheets/sheet1.xml" Id="R87e31dafbbd148ed" /><Relationship Type="http://schemas.openxmlformats.org/officeDocument/2006/relationships/worksheet" Target="/xl/worksheets/sheet2.xml" Id="Rda47f58c7a9b4bcd" /><Relationship Type="http://schemas.openxmlformats.org/officeDocument/2006/relationships/worksheet" Target="/xl/worksheets/sheet3.xml" Id="R7e656dab3da146af" /><Relationship Type="http://schemas.openxmlformats.org/officeDocument/2006/relationships/worksheet" Target="/xl/worksheets/sheet4.xml" Id="R88903908ee99496b" /><Relationship Type="http://schemas.openxmlformats.org/officeDocument/2006/relationships/worksheet" Target="/xl/worksheets/sheet5.xml" Id="R87aa33c5086a403e" /><Relationship Type="http://schemas.openxmlformats.org/officeDocument/2006/relationships/worksheet" Target="/xl/worksheets/sheet6.xml" Id="R4dc47737195549f3" /></Relationships>
</file>

<file path=xl/tables/table1.xml><?xml version="1.0" encoding="utf-8"?>
<x:table xmlns:x="http://schemas.openxmlformats.org/spreadsheetml/2006/main" id="2" name="ChannelSummary" displayName="ChannelSummary" ref="A4:M10" headerRowCount="1" totalsRowCount="0" totalsRowShown="0">
  <x:tableColumns count="13">
    <x:tableColumn id="1" name="Channel"/>
    <x:tableColumn id="2" name="Impressions"/>
    <x:tableColumn id="3" name="Clicks"/>
    <x:tableColumn id="4" name="Leads"/>
    <x:tableColumn id="5" name="Customers"/>
    <x:tableColumn id="6" name="Spend"/>
    <x:tableColumn id="7" name="Revenue"/>
    <x:tableColumn id="8" name="CTR"/>
    <x:tableColumn id="9" name="Click→Lead"/>
    <x:tableColumn id="10" name="Lead→Customer"/>
    <x:tableColumn id="11" name="CAC"/>
    <x:tableColumn id="12" name="ROAS"/>
    <x:tableColumn id="13" name="RO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ampaignDailyTable" displayName="CampaignDailyTable" ref="A1:M361" headerRowCount="1" totalsRowCount="0" totalsRowShown="0">
  <x:tableColumns count="13">
    <x:tableColumn id="1" name="campaign_date"/>
    <x:tableColumn id="2" name="campaign_id"/>
    <x:tableColumn id="3" name="campaign_name"/>
    <x:tableColumn id="4" name="channel"/>
    <x:tableColumn id="5" name="campaign_type"/>
    <x:tableColumn id="6" name="segment"/>
    <x:tableColumn id="7" name="region"/>
    <x:tableColumn id="8" name="impressions"/>
    <x:tableColumn id="9" name="clicks"/>
    <x:tableColumn id="10" name="leads"/>
    <x:tableColumn id="11" name="customers"/>
    <x:tableColumn id="12" name="spend"/>
    <x:tableColumn id="13" name="reven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3bdf0123af4a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a34ebe5e2e27401f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6" hidden="0" customWidth="1"/>
    <x:col min="3" max="3" width="15" hidden="0" customWidth="1"/>
    <x:col min="4" max="4" width="14" hidden="0" customWidth="1"/>
    <x:col min="5" max="5" width="4" hidden="0" customWidth="1"/>
    <x:col min="6" max="6" width="18" hidden="0" customWidth="1"/>
    <x:col min="7" max="7" width="15" hidden="0" customWidth="1"/>
    <x:col min="8" max="8" width="10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59" t="str">
        <x:v>Marketing Funnel &amp; Campaign ROI Analysis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</x:row>
    <x:row r="2">
      <x:c r="A2" s="27" t="str">
        <x:v>SQL + Power BI + Excel | Campaign efficiency, funnel leakage and budget reallocation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</x:row>
    <x:row r="4">
      <x:c r="A4" s="32" t="str">
        <x:v>Total Spend</x:v>
      </x:c>
      <x:c r="B4" s="86"/>
      <x:c r="C4" s="86"/>
      <x:c r="D4" s="32" t="str">
        <x:v>Revenue</x:v>
      </x:c>
      <x:c r="E4" s="86"/>
      <x:c r="F4" s="86"/>
      <x:c r="G4" s="32" t="str">
        <x:v>ROAS</x:v>
      </x:c>
      <x:c r="H4" s="86"/>
      <x:c r="I4" s="86"/>
      <x:c r="J4" s="32" t="str">
        <x:v>Customers</x:v>
      </x:c>
      <x:c r="K4" s="86"/>
      <x:c r="L4" s="86"/>
    </x:row>
    <x:row r="5">
      <x:c r="A5" s="65" t="n">
        <x:f>'Budget Scenario'!K11</x:f>
        <x:v>10567501.54</x:v>
      </x:c>
      <x:c r="B5" s="86"/>
      <x:c r="C5" s="86"/>
      <x:c r="D5" s="65" t="n">
        <x:f>'Budget Scenario'!K12</x:f>
        <x:v>33857079.75</x:v>
      </x:c>
      <x:c r="E5" s="86"/>
      <x:c r="F5" s="86"/>
      <x:c r="G5" s="72" t="n">
        <x:f>'Budget Scenario'!K13</x:f>
        <x:v>3.203886900024999</x:v>
      </x:c>
      <x:c r="H5" s="86"/>
      <x:c r="I5" s="86"/>
      <x:c r="J5" s="78" t="n">
        <x:f>SUM('Campaign Analysis'!H4:H33)</x:f>
        <x:v>66014</x:v>
      </x:c>
      <x:c r="K5" s="86"/>
      <x:c r="L5" s="86"/>
    </x:row>
    <x:row r="6">
      <x:c r="A6" s="86"/>
      <x:c r="B6" s="86"/>
      <x:c r="C6" s="86"/>
      <x:c r="D6" s="86"/>
      <x:c r="E6" s="86"/>
      <x:c r="F6" s="86"/>
      <x:c r="G6" s="86"/>
      <x:c r="H6" s="86"/>
      <x:c r="I6" s="86"/>
      <x:c r="J6" s="86"/>
      <x:c r="K6" s="86"/>
      <x:c r="L6" s="86"/>
    </x:row>
    <x:row r="7">
      <x:c r="A7" s="86"/>
      <x:c r="B7" s="86"/>
      <x:c r="C7" s="86"/>
      <x:c r="D7" s="86"/>
      <x:c r="E7" s="86"/>
      <x:c r="F7" s="86"/>
      <x:c r="G7" s="86"/>
      <x:c r="H7" s="86"/>
      <x:c r="I7" s="86"/>
      <x:c r="J7" s="86"/>
      <x:c r="K7" s="86"/>
      <x:c r="L7" s="86"/>
    </x:row>
    <x:row r="8">
      <x:c r="A8" s="31" t="str">
        <x:v>Funnel Stage</x:v>
      </x:c>
      <x:c r="B8" s="31" t="str">
        <x:v>Volume</x:v>
      </x:c>
      <x:c r="C8" s="31" t="str">
        <x:v>Stage Conversion</x:v>
      </x:c>
      <x:c r="D8" s="31" t="str">
        <x:v>Drop-off</x:v>
      </x:c>
      <x:c r="E8" s="86"/>
      <x:c r="F8" s="31" t="str">
        <x:v>Channel</x:v>
      </x:c>
      <x:c r="G8" s="31" t="str">
        <x:v>Spend</x:v>
      </x:c>
      <x:c r="H8" s="31" t="str">
        <x:v>ROAS</x:v>
      </x:c>
      <x:c r="I8" s="31" t="str">
        <x:v>CAC</x:v>
      </x:c>
      <x:c r="J8" s="86"/>
      <x:c r="K8" s="86"/>
      <x:c r="L8" s="86"/>
    </x:row>
    <x:row r="9">
      <x:c r="A9" s="86" t="str">
        <x:v>Impressions</x:v>
      </x:c>
      <x:c r="B9" s="36" t="n">
        <x:v>195818174</x:v>
      </x:c>
      <x:c r="C9" s="86"/>
      <x:c r="D9" s="86"/>
      <x:c r="E9" s="86"/>
      <x:c r="F9" s="86" t="str">
        <x:v>Affiliate</x:v>
      </x:c>
      <x:c r="G9" s="10" t="n">
        <x:f>'Channel Analysis'!F5</x:f>
        <x:v>1909215.3400000003</x:v>
      </x:c>
      <x:c r="H9" s="40" t="n">
        <x:f>'Channel Analysis'!L5</x:f>
        <x:v>6.266854581212404</x:v>
      </x:c>
      <x:c r="I9" s="10" t="n">
        <x:f>'Channel Analysis'!K5</x:f>
        <x:v>110.47421247540795</x:v>
      </x:c>
      <x:c r="J9" s="86"/>
      <x:c r="K9" s="86"/>
      <x:c r="L9" s="86"/>
    </x:row>
    <x:row r="10">
      <x:c r="A10" s="86" t="str">
        <x:v>Clicks</x:v>
      </x:c>
      <x:c r="B10" s="36" t="n">
        <x:v>4738625</x:v>
      </x:c>
      <x:c r="C10" s="38" t="n">
        <x:f>IFERROR(B10/B9,0)</x:f>
        <x:v>0.0241991072800015</x:v>
      </x:c>
      <x:c r="D10" s="38" t="n">
        <x:f>1-C10</x:f>
        <x:v>0.9758008927199985</x:v>
      </x:c>
      <x:c r="E10" s="86"/>
      <x:c r="F10" s="86" t="str">
        <x:v>Display</x:v>
      </x:c>
      <x:c r="G10" s="10" t="n">
        <x:f>'Channel Analysis'!F6</x:f>
        <x:v>1694564.57</x:v>
      </x:c>
      <x:c r="H10" s="40" t="n">
        <x:f>'Channel Analysis'!L6</x:f>
        <x:v>0.974850754728101</x:v>
      </x:c>
      <x:c r="I10" s="10" t="n">
        <x:f>'Channel Analysis'!K6</x:f>
        <x:v>908.6137104557641</x:v>
      </x:c>
      <x:c r="J10" s="86"/>
      <x:c r="K10" s="86"/>
      <x:c r="L10" s="86"/>
    </x:row>
    <x:row r="11">
      <x:c r="A11" s="86" t="str">
        <x:v>Leads</x:v>
      </x:c>
      <x:c r="B11" s="36" t="n">
        <x:v>392336</x:v>
      </x:c>
      <x:c r="C11" s="38" t="n">
        <x:f>IFERROR(B11/B10,0)</x:f>
        <x:v>0.08279532564826295</x:v>
      </x:c>
      <x:c r="D11" s="38" t="n">
        <x:f>1-C11</x:f>
        <x:v>0.917204674351737</x:v>
      </x:c>
      <x:c r="E11" s="86"/>
      <x:c r="F11" s="86" t="str">
        <x:v>Email</x:v>
      </x:c>
      <x:c r="G11" s="10" t="n">
        <x:f>'Channel Analysis'!F7</x:f>
        <x:v>1123574.4900000002</x:v>
      </x:c>
      <x:c r="H11" s="40" t="n">
        <x:f>'Channel Analysis'!L7</x:f>
        <x:v>7.2405763769164935</x:v>
      </x:c>
      <x:c r="I11" s="10" t="n">
        <x:f>'Channel Analysis'!K7</x:f>
        <x:v>32.38246793670923</x:v>
      </x:c>
      <x:c r="J11" s="86"/>
      <x:c r="K11" s="86"/>
      <x:c r="L11" s="86"/>
    </x:row>
    <x:row r="12">
      <x:c r="A12" s="86" t="str">
        <x:v>Customers</x:v>
      </x:c>
      <x:c r="B12" s="36" t="n">
        <x:v>66014</x:v>
      </x:c>
      <x:c r="C12" s="38" t="n">
        <x:f>IFERROR(B12/B11,0)</x:f>
        <x:v>0.16825883936217936</x:v>
      </x:c>
      <x:c r="D12" s="38" t="n">
        <x:f>1-C12</x:f>
        <x:v>0.8317411606378207</x:v>
      </x:c>
      <x:c r="E12" s="86"/>
      <x:c r="F12" s="86" t="str">
        <x:v>Paid Search</x:v>
      </x:c>
      <x:c r="G12" s="10" t="n">
        <x:f>'Channel Analysis'!F8</x:f>
        <x:v>2354473.5399999996</x:v>
      </x:c>
      <x:c r="H12" s="40" t="n">
        <x:f>'Channel Analysis'!L8</x:f>
        <x:v>3.555597358719945</x:v>
      </x:c>
      <x:c r="I12" s="10" t="n">
        <x:f>'Channel Analysis'!K8</x:f>
        <x:v>297.09445299684535</x:v>
      </x:c>
      <x:c r="J12" s="86"/>
      <x:c r="K12" s="86"/>
      <x:c r="L12" s="86"/>
    </x:row>
    <x:row r="13">
      <x:c r="A13" s="86"/>
      <x:c r="B13" s="86"/>
      <x:c r="C13" s="86"/>
      <x:c r="D13" s="86"/>
      <x:c r="E13" s="86"/>
      <x:c r="F13" s="86" t="str">
        <x:v>Paid Social</x:v>
      </x:c>
      <x:c r="G13" s="10" t="n">
        <x:f>'Channel Analysis'!F9</x:f>
        <x:v>2003516.7400000005</x:v>
      </x:c>
      <x:c r="H13" s="40" t="n">
        <x:f>'Channel Analysis'!L9</x:f>
        <x:v>1.379273402028076</x:v>
      </x:c>
      <x:c r="I13" s="10" t="n">
        <x:f>'Channel Analysis'!K9</x:f>
        <x:v>609.8985509893456</x:v>
      </x:c>
      <x:c r="J13" s="86"/>
      <x:c r="K13" s="86"/>
      <x:c r="L13" s="86"/>
    </x:row>
    <x:row r="14">
      <x:c r="A14" s="86"/>
      <x:c r="B14" s="86"/>
      <x:c r="C14" s="86"/>
      <x:c r="D14" s="86"/>
      <x:c r="E14" s="86"/>
      <x:c r="F14" s="86" t="str">
        <x:v>Video</x:v>
      </x:c>
      <x:c r="G14" s="10" t="n">
        <x:f>'Channel Analysis'!F10</x:f>
        <x:v>1482156.86</x:v>
      </x:c>
      <x:c r="H14" s="40" t="n">
        <x:f>'Channel Analysis'!L10</x:f>
        <x:v>0.6545009952590308</x:v>
      </x:c>
      <x:c r="I14" s="10" t="n">
        <x:f>'Channel Analysis'!K10</x:f>
        <x:v>1543.9133958333334</x:v>
      </x:c>
      <x:c r="J14" s="86"/>
      <x:c r="K14" s="86"/>
      <x:c r="L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</x:row>
    <x:row r="16">
      <x:c r="A16" s="54" t="str">
        <x:v>Decision lens: prioritize channels with stronger ROAS and lower CAC, but confirm marginal returns before scaling. The budget scenario in the workbook reallocates 15% of total spend toward Email, Affiliate and Paid Search while reducing Video, Display and Paid Social.</x:v>
      </x:c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</x:row>
  </x:sheetData>
  <x:mergeCells>
    <x:mergeCell ref="A1:L1"/>
    <x:mergeCell ref="A2:L2"/>
    <x:mergeCell ref="A4:C4"/>
    <x:mergeCell ref="D4:F4"/>
    <x:mergeCell ref="G4:I4"/>
    <x:mergeCell ref="J4:L4"/>
    <x:mergeCell ref="A5:C6"/>
    <x:mergeCell ref="D5:F6"/>
    <x:mergeCell ref="G5:I6"/>
    <x:mergeCell ref="J5:L6"/>
    <x:mergeCell ref="A16:L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16" hidden="0" customWidth="1"/>
    <x:col min="8" max="8" width="10" hidden="0" customWidth="1"/>
    <x:col min="9" max="9" width="13" hidden="0" customWidth="1"/>
    <x:col min="10" max="10" width="15" hidden="0" customWidth="1"/>
    <x:col min="11" max="11" width="12" hidden="0" customWidth="1"/>
    <x:col min="12" max="12" width="10" hidden="0" customWidth="1"/>
    <x:col min="13" max="13" width="10" hidden="0" customWidth="1"/>
  </x:cols>
  <x:sheetData>
    <x:row r="1">
      <x:c r="A1" s="22" t="str">
        <x:v>Channel Performance Analysis</x:v>
      </x:c>
    </x:row>
    <x:row r="2">
      <x:c r="A2" s="27" t="str">
        <x:v>Formula-driven channel KPIs using SUMIFS against Campaign Data</x:v>
      </x:c>
    </x:row>
    <x:row r="4">
      <x:c r="A4" s="42" t="str">
        <x:v>Channel</x:v>
      </x:c>
      <x:c r="B4" s="42" t="str">
        <x:v>Impressions</x:v>
      </x:c>
      <x:c r="C4" s="42" t="str">
        <x:v>Clicks</x:v>
      </x:c>
      <x:c r="D4" s="42" t="str">
        <x:v>Leads</x:v>
      </x:c>
      <x:c r="E4" s="42" t="str">
        <x:v>Customers</x:v>
      </x:c>
      <x:c r="F4" s="42" t="str">
        <x:v>Spend</x:v>
      </x:c>
      <x:c r="G4" s="42" t="str">
        <x:v>Revenue</x:v>
      </x:c>
      <x:c r="H4" s="42" t="str">
        <x:v>CTR</x:v>
      </x:c>
      <x:c r="I4" s="42" t="str">
        <x:v>Click→Lead</x:v>
      </x:c>
      <x:c r="J4" s="42" t="str">
        <x:v>Lead→Customer</x:v>
      </x:c>
      <x:c r="K4" s="42" t="str">
        <x:v>CAC</x:v>
      </x:c>
      <x:c r="L4" s="42" t="str">
        <x:v>ROAS</x:v>
      </x:c>
      <x:c r="M4" s="42" t="str">
        <x:v>ROI</x:v>
      </x:c>
    </x:row>
    <x:row r="5">
      <x:c r="A5" s="14" t="str">
        <x:v>Affiliate</x:v>
      </x:c>
      <x:c r="B5" s="43" t="n">
        <x:f>SUMIFS('Campaign Data'!$H:$H,'Campaign Data'!$D:$D,$A5)</x:f>
        <x:v>40930344</x:v>
      </x:c>
      <x:c r="C5" s="43" t="n">
        <x:f>SUMIFS('Campaign Data'!$I:$I,'Campaign Data'!$D:$D,$A5)</x:f>
        <x:v>1152593</x:v>
      </x:c>
      <x:c r="D5" s="43" t="n">
        <x:f>SUMIFS('Campaign Data'!$J:$J,'Campaign Data'!$D:$D,$A5)</x:f>
        <x:v>99463</x:v>
      </x:c>
      <x:c r="E5" s="43" t="n">
        <x:f>SUMIFS('Campaign Data'!$K:$K,'Campaign Data'!$D:$D,$A5)</x:f>
        <x:v>17282</x:v>
      </x:c>
      <x:c r="F5" s="15" t="n">
        <x:f>SUMIFS('Campaign Data'!$L:$L,'Campaign Data'!$D:$D,$A5)</x:f>
        <x:v>1909215.3400000003</x:v>
      </x:c>
      <x:c r="G5" s="15" t="n">
        <x:f>SUMIFS('Campaign Data'!$M:$M,'Campaign Data'!$D:$D,$A5)</x:f>
        <x:v>11964774.899999999</x:v>
      </x:c>
      <x:c r="H5" s="44" t="n">
        <x:f>IFERROR(C5/B5,0)</x:f>
        <x:v>0.02815986594200137</x:v>
      </x:c>
      <x:c r="I5" s="44" t="n">
        <x:f>IFERROR(D5/C5,0)</x:f>
        <x:v>0.08629498877747827</x:v>
      </x:c>
      <x:c r="J5" s="44" t="n">
        <x:f>IFERROR(E5/D5,0)</x:f>
        <x:v>0.17375305389943999</x:v>
      </x:c>
      <x:c r="K5" s="15" t="n">
        <x:f>IFERROR(F5/E5,0)</x:f>
        <x:v>110.47421247540795</x:v>
      </x:c>
      <x:c r="L5" s="45" t="n">
        <x:f>IFERROR(G5/F5,0)</x:f>
        <x:v>6.266854581212404</x:v>
      </x:c>
      <x:c r="M5" s="44" t="n">
        <x:f>IFERROR((G5-F5)/F5,0)</x:f>
        <x:v>5.266854581212404</x:v>
      </x:c>
    </x:row>
    <x:row r="6">
      <x:c r="A6" s="14" t="str">
        <x:v>Display</x:v>
      </x:c>
      <x:c r="B6" s="43" t="n">
        <x:f>SUMIFS('Campaign Data'!$H:$H,'Campaign Data'!$D:$D,$A6)</x:f>
        <x:v>36108884</x:v>
      </x:c>
      <x:c r="C6" s="43" t="n">
        <x:f>SUMIFS('Campaign Data'!$I:$I,'Campaign Data'!$D:$D,$A6)</x:f>
        <x:v>369054</x:v>
      </x:c>
      <x:c r="D6" s="43" t="n">
        <x:f>SUMIFS('Campaign Data'!$J:$J,'Campaign Data'!$D:$D,$A6)</x:f>
        <x:v>16677</x:v>
      </x:c>
      <x:c r="E6" s="43" t="n">
        <x:f>SUMIFS('Campaign Data'!$K:$K,'Campaign Data'!$D:$D,$A6)</x:f>
        <x:v>1865</x:v>
      </x:c>
      <x:c r="F6" s="15" t="n">
        <x:f>SUMIFS('Campaign Data'!$L:$L,'Campaign Data'!$D:$D,$A6)</x:f>
        <x:v>1694564.57</x:v>
      </x:c>
      <x:c r="G6" s="15" t="n">
        <x:f>SUMIFS('Campaign Data'!$M:$M,'Campaign Data'!$D:$D,$A6)</x:f>
        <x:v>1651947.55</x:v>
      </x:c>
      <x:c r="H6" s="44" t="n">
        <x:f>IFERROR(C6/B6,0)</x:f>
        <x:v>0.010220587266003568</x:v>
      </x:c>
      <x:c r="I6" s="44" t="n">
        <x:f>IFERROR(D6/C6,0)</x:f>
        <x:v>0.04518850899868312</x:v>
      </x:c>
      <x:c r="J6" s="44" t="n">
        <x:f>IFERROR(E6/D6,0)</x:f>
        <x:v>0.11183066498770762</x:v>
      </x:c>
      <x:c r="K6" s="15" t="n">
        <x:f>IFERROR(F6/E6,0)</x:f>
        <x:v>908.6137104557641</x:v>
      </x:c>
      <x:c r="L6" s="45" t="n">
        <x:f>IFERROR(G6/F6,0)</x:f>
        <x:v>0.974850754728101</x:v>
      </x:c>
      <x:c r="M6" s="44" t="n">
        <x:f>IFERROR((G6-F6)/F6,0)</x:f>
        <x:v>-0.025149245271898973</x:v>
      </x:c>
    </x:row>
    <x:row r="7">
      <x:c r="A7" s="14" t="str">
        <x:v>Email</x:v>
      </x:c>
      <x:c r="B7" s="43" t="n">
        <x:f>SUMIFS('Campaign Data'!$H:$H,'Campaign Data'!$D:$D,$A7)</x:f>
        <x:v>36489998</x:v>
      </x:c>
      <x:c r="C7" s="43" t="n">
        <x:f>SUMIFS('Campaign Data'!$I:$I,'Campaign Data'!$D:$D,$A7)</x:f>
        <x:v>1824149</x:v>
      </x:c>
      <x:c r="D7" s="43" t="n">
        <x:f>SUMIFS('Campaign Data'!$J:$J,'Campaign Data'!$D:$D,$A7)</x:f>
        <x:v>192220</x:v>
      </x:c>
      <x:c r="E7" s="43" t="n">
        <x:f>SUMIFS('Campaign Data'!$K:$K,'Campaign Data'!$D:$D,$A7)</x:f>
        <x:v>34697</x:v>
      </x:c>
      <x:c r="F7" s="15" t="n">
        <x:f>SUMIFS('Campaign Data'!$L:$L,'Campaign Data'!$D:$D,$A7)</x:f>
        <x:v>1123574.4900000002</x:v>
      </x:c>
      <x:c r="G7" s="15" t="n">
        <x:f>SUMIFS('Campaign Data'!$M:$M,'Campaign Data'!$D:$D,$A7)</x:f>
        <x:v>8135326.909999998</x:v>
      </x:c>
      <x:c r="H7" s="44" t="n">
        <x:f>IFERROR(C7/B7,0)</x:f>
        <x:v>0.04999038366623095</x:v>
      </x:c>
      <x:c r="I7" s="44" t="n">
        <x:f>IFERROR(D7/C7,0)</x:f>
        <x:v>0.10537516398057395</x:v>
      </x:c>
      <x:c r="J7" s="44" t="n">
        <x:f>IFERROR(E7/D7,0)</x:f>
        <x:v>0.18050671106024346</x:v>
      </x:c>
      <x:c r="K7" s="15" t="n">
        <x:f>IFERROR(F7/E7,0)</x:f>
        <x:v>32.38246793670923</x:v>
      </x:c>
      <x:c r="L7" s="45" t="n">
        <x:f>IFERROR(G7/F7,0)</x:f>
        <x:v>7.2405763769164935</x:v>
      </x:c>
      <x:c r="M7" s="44" t="n">
        <x:f>IFERROR((G7-F7)/F7,0)</x:f>
        <x:v>6.2405763769164935</x:v>
      </x:c>
    </x:row>
    <x:row r="8">
      <x:c r="A8" s="14" t="str">
        <x:v>Paid Search</x:v>
      </x:c>
      <x:c r="B8" s="43" t="n">
        <x:f>SUMIFS('Campaign Data'!$H:$H,'Campaign Data'!$D:$D,$A8)</x:f>
        <x:v>28352767</x:v>
      </x:c>
      <x:c r="C8" s="43" t="n">
        <x:f>SUMIFS('Campaign Data'!$I:$I,'Campaign Data'!$D:$D,$A8)</x:f>
        <x:v>695287</x:v>
      </x:c>
      <x:c r="D8" s="43" t="n">
        <x:f>SUMIFS('Campaign Data'!$J:$J,'Campaign Data'!$D:$D,$A8)</x:f>
        <x:v>48434</x:v>
      </x:c>
      <x:c r="E8" s="43" t="n">
        <x:f>SUMIFS('Campaign Data'!$K:$K,'Campaign Data'!$D:$D,$A8)</x:f>
        <x:v>7925</x:v>
      </x:c>
      <x:c r="F8" s="15" t="n">
        <x:f>SUMIFS('Campaign Data'!$L:$L,'Campaign Data'!$D:$D,$A8)</x:f>
        <x:v>2354473.5399999996</x:v>
      </x:c>
      <x:c r="G8" s="15" t="n">
        <x:f>SUMIFS('Campaign Data'!$M:$M,'Campaign Data'!$D:$D,$A8)</x:f>
        <x:v>8371559.899999998</x:v>
      </x:c>
      <x:c r="H8" s="44" t="n">
        <x:f>IFERROR(C8/B8,0)</x:f>
        <x:v>0.024522721186260234</x:v>
      </x:c>
      <x:c r="I8" s="44" t="n">
        <x:f>IFERROR(D8/C8,0)</x:f>
        <x:v>0.06966044237847105</x:v>
      </x:c>
      <x:c r="J8" s="44" t="n">
        <x:f>IFERROR(E8/D8,0)</x:f>
        <x:v>0.1636247264318454</x:v>
      </x:c>
      <x:c r="K8" s="15" t="n">
        <x:f>IFERROR(F8/E8,0)</x:f>
        <x:v>297.09445299684535</x:v>
      </x:c>
      <x:c r="L8" s="45" t="n">
        <x:f>IFERROR(G8/F8,0)</x:f>
        <x:v>3.555597358719945</x:v>
      </x:c>
      <x:c r="M8" s="44" t="n">
        <x:f>IFERROR((G8-F8)/F8,0)</x:f>
        <x:v>2.555597358719945</x:v>
      </x:c>
    </x:row>
    <x:row r="9">
      <x:c r="A9" s="14" t="str">
        <x:v>Paid Social</x:v>
      </x:c>
      <x:c r="B9" s="43" t="n">
        <x:f>SUMIFS('Campaign Data'!$H:$H,'Campaign Data'!$D:$D,$A9)</x:f>
        <x:v>28779953</x:v>
      </x:c>
      <x:c r="C9" s="43" t="n">
        <x:f>SUMIFS('Campaign Data'!$I:$I,'Campaign Data'!$D:$D,$A9)</x:f>
        <x:v>462975</x:v>
      </x:c>
      <x:c r="D9" s="43" t="n">
        <x:f>SUMIFS('Campaign Data'!$J:$J,'Campaign Data'!$D:$D,$A9)</x:f>
        <x:v>25545</x:v>
      </x:c>
      <x:c r="E9" s="43" t="n">
        <x:f>SUMIFS('Campaign Data'!$K:$K,'Campaign Data'!$D:$D,$A9)</x:f>
        <x:v>3285</x:v>
      </x:c>
      <x:c r="F9" s="15" t="n">
        <x:f>SUMIFS('Campaign Data'!$L:$L,'Campaign Data'!$D:$D,$A9)</x:f>
        <x:v>2003516.7400000005</x:v>
      </x:c>
      <x:c r="G9" s="15" t="n">
        <x:f>SUMIFS('Campaign Data'!$M:$M,'Campaign Data'!$D:$D,$A9)</x:f>
        <x:v>2763397.3500000006</x:v>
      </x:c>
      <x:c r="H9" s="44" t="n">
        <x:f>IFERROR(C9/B9,0)</x:f>
        <x:v>0.016086718418198944</x:v>
      </x:c>
      <x:c r="I9" s="44" t="n">
        <x:f>IFERROR(D9/C9,0)</x:f>
        <x:v>0.05517576543009882</x:v>
      </x:c>
      <x:c r="J9" s="44" t="n">
        <x:f>IFERROR(E9/D9,0)</x:f>
        <x:v>0.1285965942454492</x:v>
      </x:c>
      <x:c r="K9" s="15" t="n">
        <x:f>IFERROR(F9/E9,0)</x:f>
        <x:v>609.8985509893456</x:v>
      </x:c>
      <x:c r="L9" s="45" t="n">
        <x:f>IFERROR(G9/F9,0)</x:f>
        <x:v>1.379273402028076</x:v>
      </x:c>
      <x:c r="M9" s="44" t="n">
        <x:f>IFERROR((G9-F9)/F9,0)</x:f>
        <x:v>0.37927340202807586</x:v>
      </x:c>
    </x:row>
    <x:row r="10">
      <x:c r="A10" s="14" t="str">
        <x:v>Video</x:v>
      </x:c>
      <x:c r="B10" s="43" t="n">
        <x:f>SUMIFS('Campaign Data'!$H:$H,'Campaign Data'!$D:$D,$A10)</x:f>
        <x:v>25156228</x:v>
      </x:c>
      <x:c r="C10" s="43" t="n">
        <x:f>SUMIFS('Campaign Data'!$I:$I,'Campaign Data'!$D:$D,$A10)</x:f>
        <x:v>234567</x:v>
      </x:c>
      <x:c r="D10" s="43" t="n">
        <x:f>SUMIFS('Campaign Data'!$J:$J,'Campaign Data'!$D:$D,$A10)</x:f>
        <x:v>9997</x:v>
      </x:c>
      <x:c r="E10" s="43" t="n">
        <x:f>SUMIFS('Campaign Data'!$K:$K,'Campaign Data'!$D:$D,$A10)</x:f>
        <x:v>960</x:v>
      </x:c>
      <x:c r="F10" s="15" t="n">
        <x:f>SUMIFS('Campaign Data'!$L:$L,'Campaign Data'!$D:$D,$A10)</x:f>
        <x:v>1482156.86</x:v>
      </x:c>
      <x:c r="G10" s="15" t="n">
        <x:f>SUMIFS('Campaign Data'!$M:$M,'Campaign Data'!$D:$D,$A10)</x:f>
        <x:v>970073.1400000001</x:v>
      </x:c>
      <x:c r="H10" s="44" t="n">
        <x:f>IFERROR(C10/B10,0)</x:f>
        <x:v>0.00932441063898769</x:v>
      </x:c>
      <x:c r="I10" s="44" t="n">
        <x:f>IFERROR(D10/C10,0)</x:f>
        <x:v>0.04261895322018869</x:v>
      </x:c>
      <x:c r="J10" s="44" t="n">
        <x:f>IFERROR(E10/D10,0)</x:f>
        <x:v>0.09602880864259278</x:v>
      </x:c>
      <x:c r="K10" s="15" t="n">
        <x:f>IFERROR(F10/E10,0)</x:f>
        <x:v>1543.9133958333334</x:v>
      </x:c>
      <x:c r="L10" s="45" t="n">
        <x:f>IFERROR(G10/F10,0)</x:f>
        <x:v>0.6545009952590308</x:v>
      </x:c>
      <x:c r="M10" s="44" t="n">
        <x:f>IFERROR((G10-F10)/F10,0)</x:f>
        <x:v>-0.3454990047409691</x:v>
      </x:c>
    </x:row>
  </x:sheetData>
  <x:mergeCells>
    <x:mergeCell ref="A1:L1"/>
    <x:mergeCell ref="A2:L2"/>
  </x:mergeCells>
  <x:conditionalFormatting sqref="L5:L1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5:M10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63bdf0123af4af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6" hidden="0" customWidth="1"/>
    <x:col min="5" max="5" width="14" hidden="0" customWidth="1"/>
    <x:col min="6" max="6" width="12" hidden="0" customWidth="1"/>
    <x:col min="7" max="7" width="14" hidden="0" customWidth="1"/>
    <x:col min="8" max="8" width="11" hidden="0" customWidth="1"/>
    <x:col min="9" max="9" width="12" hidden="0" customWidth="1"/>
    <x:col min="10" max="10" width="15" hidden="0" customWidth="1"/>
    <x:col min="11" max="11" width="10" hidden="0" customWidth="1"/>
    <x:col min="12" max="12" width="10" hidden="0" customWidth="1"/>
    <x:col min="13" max="13" width="18" hidden="0" customWidth="1"/>
  </x:cols>
  <x:sheetData>
    <x:row r="1">
      <x:c r="A1" s="21" t="str">
        <x:v>Campaign Performance Ranking</x:v>
      </x:c>
    </x:row>
    <x:row r="3">
      <x:c r="A3" s="32" t="str">
        <x:v>Campaign ID</x:v>
      </x:c>
      <x:c r="B3" s="32" t="str">
        <x:v>Campaign Name</x:v>
      </x:c>
      <x:c r="C3" s="32" t="str">
        <x:v>Channel</x:v>
      </x:c>
      <x:c r="D3" s="32" t="str">
        <x:v>Type</x:v>
      </x:c>
      <x:c r="E3" s="32" t="str">
        <x:v>Segment</x:v>
      </x:c>
      <x:c r="F3" s="32" t="str">
        <x:v>Region</x:v>
      </x:c>
      <x:c r="G3" s="32" t="str">
        <x:v>Spend</x:v>
      </x:c>
      <x:c r="H3" s="32" t="str">
        <x:v>Customers</x:v>
      </x:c>
      <x:c r="I3" s="32" t="str">
        <x:v>CAC</x:v>
      </x:c>
      <x:c r="J3" s="32" t="str">
        <x:v>Revenue</x:v>
      </x:c>
      <x:c r="K3" s="32" t="str">
        <x:v>ROAS</x:v>
      </x:c>
      <x:c r="L3" s="32" t="str">
        <x:v>ROI</x:v>
      </x:c>
      <x:c r="M3" s="32" t="str">
        <x:v>Recommendation</x:v>
      </x:c>
    </x:row>
    <x:row r="4">
      <x:c r="A4" s="86" t="str">
        <x:v>CMP001</x:v>
      </x:c>
      <x:c r="B4" s="86" t="str">
        <x:v>PaidSearch_LeadGen_01</x:v>
      </x:c>
      <x:c r="C4" s="86" t="str">
        <x:v>Paid Search</x:v>
      </x:c>
      <x:c r="D4" s="86" t="str">
        <x:v>Lead Gen</x:v>
      </x:c>
      <x:c r="E4" s="86" t="str">
        <x:v>B2B</x:v>
      </x:c>
      <x:c r="F4" s="86" t="str">
        <x:v>North</x:v>
      </x:c>
      <x:c r="G4" s="10" t="n">
        <x:f>SUMIFS('Campaign Data'!$L:$L,'Campaign Data'!$B:$B,$A4)</x:f>
        <x:v>506663.12000000005</x:v>
      </x:c>
      <x:c r="H4" s="86" t="n">
        <x:f>SUMIFS('Campaign Data'!$K:$K,'Campaign Data'!$B:$B,$A4)</x:f>
        <x:v>1847</x:v>
      </x:c>
      <x:c r="I4" s="10" t="n">
        <x:f>IFERROR(G4/H4,0)</x:f>
        <x:v>274.3167948023823</x:v>
      </x:c>
      <x:c r="J4" s="10" t="n">
        <x:f>SUMIFS('Campaign Data'!$M:$M,'Campaign Data'!$B:$B,$A4)</x:f>
        <x:v>1981199.06</x:v>
      </x:c>
      <x:c r="K4" s="40" t="n">
        <x:f>IFERROR(J4/G4,0)</x:f>
        <x:v>3.910288674652301</x:v>
      </x:c>
      <x:c r="L4" s="38" t="n">
        <x:f>IFERROR((J4-G4)/G4,0)</x:f>
        <x:v>2.910288674652301</x:v>
      </x:c>
      <x:c r="M4" s="86" t="str">
        <x:f>IF(K4&gt;=4,"Scale / protect",IF(K4&gt;=2,"Optimize",IF(K4&gt;=1,"Review","Reduce / test")) )</x:f>
        <x:v>Optimize</x:v>
      </x:c>
    </x:row>
    <x:row r="5">
      <x:c r="A5" s="86" t="str">
        <x:v>CMP002</x:v>
      </x:c>
      <x:c r="B5" s="86" t="str">
        <x:v>PaidSearch_Retargeting_02</x:v>
      </x:c>
      <x:c r="C5" s="86" t="str">
        <x:v>Paid Search</x:v>
      </x:c>
      <x:c r="D5" s="86" t="str">
        <x:v>Retargeting</x:v>
      </x:c>
      <x:c r="E5" s="86" t="str">
        <x:v>Consumer</x:v>
      </x:c>
      <x:c r="F5" s="86" t="str">
        <x:v>East</x:v>
      </x:c>
      <x:c r="G5" s="10" t="n">
        <x:f>SUMIFS('Campaign Data'!$L:$L,'Campaign Data'!$B:$B,$A5)</x:f>
        <x:v>343891.68999999994</x:v>
      </x:c>
      <x:c r="H5" s="86" t="n">
        <x:f>SUMIFS('Campaign Data'!$K:$K,'Campaign Data'!$B:$B,$A5)</x:f>
        <x:v>828</x:v>
      </x:c>
      <x:c r="I5" s="10" t="n">
        <x:f>IFERROR(G5/H5,0)</x:f>
        <x:v>415.32812801932363</x:v>
      </x:c>
      <x:c r="J5" s="10" t="n">
        <x:f>SUMIFS('Campaign Data'!$M:$M,'Campaign Data'!$B:$B,$A5)</x:f>
        <x:v>897644.82</x:v>
      </x:c>
      <x:c r="K5" s="40" t="n">
        <x:f>IFERROR(J5/G5,0)</x:f>
        <x:v>2.6102544670387355</x:v>
      </x:c>
      <x:c r="L5" s="38" t="n">
        <x:f>IFERROR((J5-G5)/G5,0)</x:f>
        <x:v>1.6102544670387355</x:v>
      </x:c>
      <x:c r="M5" s="86" t="str">
        <x:f>IF(K5&gt;=4,"Scale / protect",IF(K5&gt;=2,"Optimize",IF(K5&gt;=1,"Review","Reduce / test")) )</x:f>
        <x:v>Optimize</x:v>
      </x:c>
    </x:row>
    <x:row r="6">
      <x:c r="A6" s="86" t="str">
        <x:v>CMP003</x:v>
      </x:c>
      <x:c r="B6" s="86" t="str">
        <x:v>PaidSearch_LeadGen_03</x:v>
      </x:c>
      <x:c r="C6" s="86" t="str">
        <x:v>Paid Search</x:v>
      </x:c>
      <x:c r="D6" s="86" t="str">
        <x:v>Lead Gen</x:v>
      </x:c>
      <x:c r="E6" s="86" t="str">
        <x:v>Mid-Market</x:v>
      </x:c>
      <x:c r="F6" s="86" t="str">
        <x:v>East</x:v>
      </x:c>
      <x:c r="G6" s="10" t="n">
        <x:f>SUMIFS('Campaign Data'!$L:$L,'Campaign Data'!$B:$B,$A6)</x:f>
        <x:v>555698.32</x:v>
      </x:c>
      <x:c r="H6" s="86" t="n">
        <x:f>SUMIFS('Campaign Data'!$K:$K,'Campaign Data'!$B:$B,$A6)</x:f>
        <x:v>2189</x:v>
      </x:c>
      <x:c r="I6" s="10" t="n">
        <x:f>IFERROR(G6/H6,0)</x:f>
        <x:v>253.85944266788485</x:v>
      </x:c>
      <x:c r="J6" s="10" t="n">
        <x:f>SUMIFS('Campaign Data'!$M:$M,'Campaign Data'!$B:$B,$A6)</x:f>
        <x:v>2144015.7800000003</x:v>
      </x:c>
      <x:c r="K6" s="40" t="n">
        <x:f>IFERROR(J6/G6,0)</x:f>
        <x:v>3.8582369297067527</x:v>
      </x:c>
      <x:c r="L6" s="38" t="n">
        <x:f>IFERROR((J6-G6)/G6,0)</x:f>
        <x:v>2.8582369297067527</x:v>
      </x:c>
      <x:c r="M6" s="86" t="str">
        <x:f>IF(K6&gt;=4,"Scale / protect",IF(K6&gt;=2,"Optimize",IF(K6&gt;=1,"Review","Reduce / test")) )</x:f>
        <x:v>Optimize</x:v>
      </x:c>
    </x:row>
    <x:row r="7">
      <x:c r="A7" s="86" t="str">
        <x:v>CMP004</x:v>
      </x:c>
      <x:c r="B7" s="86" t="str">
        <x:v>PaidSearch_Retargeting_04</x:v>
      </x:c>
      <x:c r="C7" s="86" t="str">
        <x:v>Paid Search</x:v>
      </x:c>
      <x:c r="D7" s="86" t="str">
        <x:v>Retargeting</x:v>
      </x:c>
      <x:c r="E7" s="86" t="str">
        <x:v>SMB</x:v>
      </x:c>
      <x:c r="F7" s="86" t="str">
        <x:v>North</x:v>
      </x:c>
      <x:c r="G7" s="10" t="n">
        <x:f>SUMIFS('Campaign Data'!$L:$L,'Campaign Data'!$B:$B,$A7)</x:f>
        <x:v>598663.8299999998</x:v>
      </x:c>
      <x:c r="H7" s="86" t="n">
        <x:f>SUMIFS('Campaign Data'!$K:$K,'Campaign Data'!$B:$B,$A7)</x:f>
        <x:v>2244</x:v>
      </x:c>
      <x:c r="I7" s="10" t="n">
        <x:f>IFERROR(G7/H7,0)</x:f>
        <x:v>266.78423796791435</x:v>
      </x:c>
      <x:c r="J7" s="10" t="n">
        <x:f>SUMIFS('Campaign Data'!$M:$M,'Campaign Data'!$B:$B,$A7)</x:f>
        <x:v>2450824.5</x:v>
      </x:c>
      <x:c r="K7" s="40" t="n">
        <x:f>IFERROR(J7/G7,0)</x:f>
        <x:v>4.09382424189549</x:v>
      </x:c>
      <x:c r="L7" s="38" t="n">
        <x:f>IFERROR((J7-G7)/G7,0)</x:f>
        <x:v>3.0938242418954904</x:v>
      </x:c>
      <x:c r="M7" s="86" t="str">
        <x:f>IF(K7&gt;=4,"Scale / protect",IF(K7&gt;=2,"Optimize",IF(K7&gt;=1,"Review","Reduce / test")) )</x:f>
        <x:v>Scale / protect</x:v>
      </x:c>
    </x:row>
    <x:row r="8">
      <x:c r="A8" s="86" t="str">
        <x:v>CMP005</x:v>
      </x:c>
      <x:c r="B8" s="86" t="str">
        <x:v>PaidSearch_Retargeting_05</x:v>
      </x:c>
      <x:c r="C8" s="86" t="str">
        <x:v>Paid Search</x:v>
      </x:c>
      <x:c r="D8" s="86" t="str">
        <x:v>Retargeting</x:v>
      </x:c>
      <x:c r="E8" s="86" t="str">
        <x:v>SMB</x:v>
      </x:c>
      <x:c r="F8" s="86" t="str">
        <x:v>East</x:v>
      </x:c>
      <x:c r="G8" s="10" t="n">
        <x:f>SUMIFS('Campaign Data'!$L:$L,'Campaign Data'!$B:$B,$A8)</x:f>
        <x:v>349556.5799999999</x:v>
      </x:c>
      <x:c r="H8" s="86" t="n">
        <x:f>SUMIFS('Campaign Data'!$K:$K,'Campaign Data'!$B:$B,$A8)</x:f>
        <x:v>817</x:v>
      </x:c>
      <x:c r="I8" s="10" t="n">
        <x:f>IFERROR(G8/H8,0)</x:f>
        <x:v>427.85383108935116</x:v>
      </x:c>
      <x:c r="J8" s="10" t="n">
        <x:f>SUMIFS('Campaign Data'!$M:$M,'Campaign Data'!$B:$B,$A8)</x:f>
        <x:v>897875.7400000001</x:v>
      </x:c>
      <x:c r="K8" s="40" t="n">
        <x:f>IFERROR(J8/G8,0)</x:f>
        <x:v>2.568613470242787</x:v>
      </x:c>
      <x:c r="L8" s="38" t="n">
        <x:f>IFERROR((J8-G8)/G8,0)</x:f>
        <x:v>1.5686134702427867</x:v>
      </x:c>
      <x:c r="M8" s="86" t="str">
        <x:f>IF(K8&gt;=4,"Scale / protect",IF(K8&gt;=2,"Optimize",IF(K8&gt;=1,"Review","Reduce / test")) )</x:f>
        <x:v>Optimize</x:v>
      </x:c>
    </x:row>
    <x:row r="9">
      <x:c r="A9" s="86" t="str">
        <x:v>CMP006</x:v>
      </x:c>
      <x:c r="B9" s="86" t="str">
        <x:v>PaidSocial_Retargeting_01</x:v>
      </x:c>
      <x:c r="C9" s="86" t="str">
        <x:v>Paid Social</x:v>
      </x:c>
      <x:c r="D9" s="86" t="str">
        <x:v>Retargeting</x:v>
      </x:c>
      <x:c r="E9" s="86" t="str">
        <x:v>B2B</x:v>
      </x:c>
      <x:c r="F9" s="86" t="str">
        <x:v>West</x:v>
      </x:c>
      <x:c r="G9" s="10" t="n">
        <x:f>SUMIFS('Campaign Data'!$L:$L,'Campaign Data'!$B:$B,$A9)</x:f>
        <x:v>434002.57</x:v>
      </x:c>
      <x:c r="H9" s="86" t="n">
        <x:f>SUMIFS('Campaign Data'!$K:$K,'Campaign Data'!$B:$B,$A9)</x:f>
        <x:v>827</x:v>
      </x:c>
      <x:c r="I9" s="10" t="n">
        <x:f>IFERROR(G9/H9,0)</x:f>
        <x:v>524.7914993954051</x:v>
      </x:c>
      <x:c r="J9" s="10" t="n">
        <x:f>SUMIFS('Campaign Data'!$M:$M,'Campaign Data'!$B:$B,$A9)</x:f>
        <x:v>773247.6300000001</x:v>
      </x:c>
      <x:c r="K9" s="40" t="n">
        <x:f>IFERROR(J9/G9,0)</x:f>
        <x:v>1.7816660164017004</x:v>
      </x:c>
      <x:c r="L9" s="38" t="n">
        <x:f>IFERROR((J9-G9)/G9,0)</x:f>
        <x:v>0.7816660164017004</x:v>
      </x:c>
      <x:c r="M9" s="86" t="str">
        <x:f>IF(K9&gt;=4,"Scale / protect",IF(K9&gt;=2,"Optimize",IF(K9&gt;=1,"Review","Reduce / test")) )</x:f>
        <x:v>Review</x:v>
      </x:c>
    </x:row>
    <x:row r="10">
      <x:c r="A10" s="86" t="str">
        <x:v>CMP007</x:v>
      </x:c>
      <x:c r="B10" s="86" t="str">
        <x:v>PaidSocial_LeadGen_02</x:v>
      </x:c>
      <x:c r="C10" s="86" t="str">
        <x:v>Paid Social</x:v>
      </x:c>
      <x:c r="D10" s="86" t="str">
        <x:v>Lead Gen</x:v>
      </x:c>
      <x:c r="E10" s="86" t="str">
        <x:v>Mid-Market</x:v>
      </x:c>
      <x:c r="F10" s="86" t="str">
        <x:v>East</x:v>
      </x:c>
      <x:c r="G10" s="10" t="n">
        <x:f>SUMIFS('Campaign Data'!$L:$L,'Campaign Data'!$B:$B,$A10)</x:f>
        <x:v>455840.39</x:v>
      </x:c>
      <x:c r="H10" s="86" t="n">
        <x:f>SUMIFS('Campaign Data'!$K:$K,'Campaign Data'!$B:$B,$A10)</x:f>
        <x:v>746</x:v>
      </x:c>
      <x:c r="I10" s="10" t="n">
        <x:f>IFERROR(G10/H10,0)</x:f>
        <x:v>611.0460991957104</x:v>
      </x:c>
      <x:c r="J10" s="10" t="n">
        <x:f>SUMIFS('Campaign Data'!$M:$M,'Campaign Data'!$B:$B,$A10)</x:f>
        <x:v>560639.76</x:v>
      </x:c>
      <x:c r="K10" s="40" t="n">
        <x:f>IFERROR(J10/G10,0)</x:f>
        <x:v>1.2299036511442085</x:v>
      </x:c>
      <x:c r="L10" s="38" t="n">
        <x:f>IFERROR((J10-G10)/G10,0)</x:f>
        <x:v>0.2299036511442086</x:v>
      </x:c>
      <x:c r="M10" s="86" t="str">
        <x:f>IF(K10&gt;=4,"Scale / protect",IF(K10&gt;=2,"Optimize",IF(K10&gt;=1,"Review","Reduce / test")) )</x:f>
        <x:v>Review</x:v>
      </x:c>
    </x:row>
    <x:row r="11">
      <x:c r="A11" s="86" t="str">
        <x:v>CMP008</x:v>
      </x:c>
      <x:c r="B11" s="86" t="str">
        <x:v>PaidSocial_LeadGen_03</x:v>
      </x:c>
      <x:c r="C11" s="86" t="str">
        <x:v>Paid Social</x:v>
      </x:c>
      <x:c r="D11" s="86" t="str">
        <x:v>Lead Gen</x:v>
      </x:c>
      <x:c r="E11" s="86" t="str">
        <x:v>B2B</x:v>
      </x:c>
      <x:c r="F11" s="86" t="str">
        <x:v>South</x:v>
      </x:c>
      <x:c r="G11" s="10" t="n">
        <x:f>SUMIFS('Campaign Data'!$L:$L,'Campaign Data'!$B:$B,$A11)</x:f>
        <x:v>399632.12</x:v>
      </x:c>
      <x:c r="H11" s="86" t="n">
        <x:f>SUMIFS('Campaign Data'!$K:$K,'Campaign Data'!$B:$B,$A11)</x:f>
        <x:v>734</x:v>
      </x:c>
      <x:c r="I11" s="10" t="n">
        <x:f>IFERROR(G11/H11,0)</x:f>
        <x:v>544.4579291553133</x:v>
      </x:c>
      <x:c r="J11" s="10" t="n">
        <x:f>SUMIFS('Campaign Data'!$M:$M,'Campaign Data'!$B:$B,$A11)</x:f>
        <x:v>604395.72</x:v>
      </x:c>
      <x:c r="K11" s="40" t="n">
        <x:f>IFERROR(J11/G11,0)</x:f>
        <x:v>1.512380236103144</x:v>
      </x:c>
      <x:c r="L11" s="38" t="n">
        <x:f>IFERROR((J11-G11)/G11,0)</x:f>
        <x:v>0.512380236103144</x:v>
      </x:c>
      <x:c r="M11" s="86" t="str">
        <x:f>IF(K11&gt;=4,"Scale / protect",IF(K11&gt;=2,"Optimize",IF(K11&gt;=1,"Review","Reduce / test")) )</x:f>
        <x:v>Review</x:v>
      </x:c>
    </x:row>
    <x:row r="12">
      <x:c r="A12" s="86" t="str">
        <x:v>CMP009</x:v>
      </x:c>
      <x:c r="B12" s="86" t="str">
        <x:v>PaidSocial_Retargeting_04</x:v>
      </x:c>
      <x:c r="C12" s="86" t="str">
        <x:v>Paid Social</x:v>
      </x:c>
      <x:c r="D12" s="86" t="str">
        <x:v>Retargeting</x:v>
      </x:c>
      <x:c r="E12" s="86" t="str">
        <x:v>B2B</x:v>
      </x:c>
      <x:c r="F12" s="86" t="str">
        <x:v>North</x:v>
      </x:c>
      <x:c r="G12" s="10" t="n">
        <x:f>SUMIFS('Campaign Data'!$L:$L,'Campaign Data'!$B:$B,$A12)</x:f>
        <x:v>383401.55000000005</x:v>
      </x:c>
      <x:c r="H12" s="86" t="n">
        <x:f>SUMIFS('Campaign Data'!$K:$K,'Campaign Data'!$B:$B,$A12)</x:f>
        <x:v>595</x:v>
      </x:c>
      <x:c r="I12" s="10" t="n">
        <x:f>IFERROR(G12/H12,0)</x:f>
        <x:v>644.3723529411766</x:v>
      </x:c>
      <x:c r="J12" s="10" t="n">
        <x:f>SUMIFS('Campaign Data'!$M:$M,'Campaign Data'!$B:$B,$A12)</x:f>
        <x:v>533979.7799999999</x:v>
      </x:c>
      <x:c r="K12" s="40" t="n">
        <x:f>IFERROR(J12/G12,0)</x:f>
        <x:v>1.39274288275569</x:v>
      </x:c>
      <x:c r="L12" s="38" t="n">
        <x:f>IFERROR((J12-G12)/G12,0)</x:f>
        <x:v>0.3927428827556901</x:v>
      </x:c>
      <x:c r="M12" s="86" t="str">
        <x:f>IF(K12&gt;=4,"Scale / protect",IF(K12&gt;=2,"Optimize",IF(K12&gt;=1,"Review","Reduce / test")) )</x:f>
        <x:v>Review</x:v>
      </x:c>
    </x:row>
    <x:row r="13">
      <x:c r="A13" s="86" t="str">
        <x:v>CMP010</x:v>
      </x:c>
      <x:c r="B13" s="86" t="str">
        <x:v>PaidSocial_Acquisition_05</x:v>
      </x:c>
      <x:c r="C13" s="86" t="str">
        <x:v>Paid Social</x:v>
      </x:c>
      <x:c r="D13" s="86" t="str">
        <x:v>Acquisition</x:v>
      </x:c>
      <x:c r="E13" s="86" t="str">
        <x:v>SMB</x:v>
      </x:c>
      <x:c r="F13" s="86" t="str">
        <x:v>North</x:v>
      </x:c>
      <x:c r="G13" s="10" t="n">
        <x:f>SUMIFS('Campaign Data'!$L:$L,'Campaign Data'!$B:$B,$A13)</x:f>
        <x:v>330640.11</x:v>
      </x:c>
      <x:c r="H13" s="86" t="n">
        <x:f>SUMIFS('Campaign Data'!$K:$K,'Campaign Data'!$B:$B,$A13)</x:f>
        <x:v>383</x:v>
      </x:c>
      <x:c r="I13" s="10" t="n">
        <x:f>IFERROR(G13/H13,0)</x:f>
        <x:v>863.2901044386423</x:v>
      </x:c>
      <x:c r="J13" s="10" t="n">
        <x:f>SUMIFS('Campaign Data'!$M:$M,'Campaign Data'!$B:$B,$A13)</x:f>
        <x:v>291134.46</x:v>
      </x:c>
      <x:c r="K13" s="40" t="n">
        <x:f>IFERROR(J13/G13,0)</x:f>
        <x:v>0.8805176722207116</x:v>
      </x:c>
      <x:c r="L13" s="38" t="n">
        <x:f>IFERROR((J13-G13)/G13,0)</x:f>
        <x:v>-0.11948232777928838</x:v>
      </x:c>
      <x:c r="M13" s="86" t="str">
        <x:f>IF(K13&gt;=4,"Scale / protect",IF(K13&gt;=2,"Optimize",IF(K13&gt;=1,"Review","Reduce / test")) )</x:f>
        <x:v>Reduce / test</x:v>
      </x:c>
    </x:row>
    <x:row r="14">
      <x:c r="A14" s="86" t="str">
        <x:v>CMP011</x:v>
      </x:c>
      <x:c r="B14" s="86" t="str">
        <x:v>Email_Retargeting_01</x:v>
      </x:c>
      <x:c r="C14" s="86" t="str">
        <x:v>Email</x:v>
      </x:c>
      <x:c r="D14" s="86" t="str">
        <x:v>Retargeting</x:v>
      </x:c>
      <x:c r="E14" s="86" t="str">
        <x:v>Consumer</x:v>
      </x:c>
      <x:c r="F14" s="86" t="str">
        <x:v>North</x:v>
      </x:c>
      <x:c r="G14" s="10" t="n">
        <x:f>SUMIFS('Campaign Data'!$L:$L,'Campaign Data'!$B:$B,$A14)</x:f>
        <x:v>190520.26</x:v>
      </x:c>
      <x:c r="H14" s="86" t="n">
        <x:f>SUMIFS('Campaign Data'!$K:$K,'Campaign Data'!$B:$B,$A14)</x:f>
        <x:v>4750</x:v>
      </x:c>
      <x:c r="I14" s="10" t="n">
        <x:f>IFERROR(G14/H14,0)</x:f>
        <x:v>40.10952842105263</x:v>
      </x:c>
      <x:c r="J14" s="10" t="n">
        <x:f>SUMIFS('Campaign Data'!$M:$M,'Campaign Data'!$B:$B,$A14)</x:f>
        <x:v>1142325.9299999997</x:v>
      </x:c>
      <x:c r="K14" s="40" t="n">
        <x:f>IFERROR(J14/G14,0)</x:f>
        <x:v>5.995823908701362</x:v>
      </x:c>
      <x:c r="L14" s="38" t="n">
        <x:f>IFERROR((J14-G14)/G14,0)</x:f>
        <x:v>4.995823908701362</x:v>
      </x:c>
      <x:c r="M14" s="86" t="str">
        <x:f>IF(K14&gt;=4,"Scale / protect",IF(K14&gt;=2,"Optimize",IF(K14&gt;=1,"Review","Reduce / test")) )</x:f>
        <x:v>Scale / protect</x:v>
      </x:c>
    </x:row>
    <x:row r="15">
      <x:c r="A15" s="86" t="str">
        <x:v>CMP012</x:v>
      </x:c>
      <x:c r="B15" s="86" t="str">
        <x:v>Email_Retargeting_02</x:v>
      </x:c>
      <x:c r="C15" s="86" t="str">
        <x:v>Email</x:v>
      </x:c>
      <x:c r="D15" s="86" t="str">
        <x:v>Retargeting</x:v>
      </x:c>
      <x:c r="E15" s="86" t="str">
        <x:v>B2B</x:v>
      </x:c>
      <x:c r="F15" s="86" t="str">
        <x:v>East</x:v>
      </x:c>
      <x:c r="G15" s="10" t="n">
        <x:f>SUMIFS('Campaign Data'!$L:$L,'Campaign Data'!$B:$B,$A15)</x:f>
        <x:v>171154.72000000003</x:v>
      </x:c>
      <x:c r="H15" s="86" t="n">
        <x:f>SUMIFS('Campaign Data'!$K:$K,'Campaign Data'!$B:$B,$A15)</x:f>
        <x:v>2977</x:v>
      </x:c>
      <x:c r="I15" s="10" t="n">
        <x:f>IFERROR(G15/H15,0)</x:f>
        <x:v>57.49234800134364</x:v>
      </x:c>
      <x:c r="J15" s="10" t="n">
        <x:f>SUMIFS('Campaign Data'!$M:$M,'Campaign Data'!$B:$B,$A15)</x:f>
        <x:v>763168.4199999999</x:v>
      </x:c>
      <x:c r="K15" s="40" t="n">
        <x:f>IFERROR(J15/G15,0)</x:f>
        <x:v>4.458938789418134</x:v>
      </x:c>
      <x:c r="L15" s="38" t="n">
        <x:f>IFERROR((J15-G15)/G15,0)</x:f>
        <x:v>3.458938789418135</x:v>
      </x:c>
      <x:c r="M15" s="86" t="str">
        <x:f>IF(K15&gt;=4,"Scale / protect",IF(K15&gt;=2,"Optimize",IF(K15&gt;=1,"Review","Reduce / test")) )</x:f>
        <x:v>Scale / protect</x:v>
      </x:c>
    </x:row>
    <x:row r="16">
      <x:c r="A16" s="86" t="str">
        <x:v>CMP013</x:v>
      </x:c>
      <x:c r="B16" s="86" t="str">
        <x:v>Email_LeadGen_03</x:v>
      </x:c>
      <x:c r="C16" s="86" t="str">
        <x:v>Email</x:v>
      </x:c>
      <x:c r="D16" s="86" t="str">
        <x:v>Lead Gen</x:v>
      </x:c>
      <x:c r="E16" s="86" t="str">
        <x:v>B2B</x:v>
      </x:c>
      <x:c r="F16" s="86" t="str">
        <x:v>East</x:v>
      </x:c>
      <x:c r="G16" s="10" t="n">
        <x:f>SUMIFS('Campaign Data'!$L:$L,'Campaign Data'!$B:$B,$A16)</x:f>
        <x:v>286284.19</x:v>
      </x:c>
      <x:c r="H16" s="86" t="n">
        <x:f>SUMIFS('Campaign Data'!$K:$K,'Campaign Data'!$B:$B,$A16)</x:f>
        <x:v>11277</x:v>
      </x:c>
      <x:c r="I16" s="10" t="n">
        <x:f>IFERROR(G16/H16,0)</x:f>
        <x:v>25.386555821583755</x:v>
      </x:c>
      <x:c r="J16" s="10" t="n">
        <x:f>SUMIFS('Campaign Data'!$M:$M,'Campaign Data'!$B:$B,$A16)</x:f>
        <x:v>2529034.03</x:v>
      </x:c>
      <x:c r="K16" s="40" t="n">
        <x:f>IFERROR(J16/G16,0)</x:f>
        <x:v>8.833998237904789</x:v>
      </x:c>
      <x:c r="L16" s="38" t="n">
        <x:f>IFERROR((J16-G16)/G16,0)</x:f>
        <x:v>7.833998237904789</x:v>
      </x:c>
      <x:c r="M16" s="86" t="str">
        <x:f>IF(K16&gt;=4,"Scale / protect",IF(K16&gt;=2,"Optimize",IF(K16&gt;=1,"Review","Reduce / test")) )</x:f>
        <x:v>Scale / protect</x:v>
      </x:c>
    </x:row>
    <x:row r="17">
      <x:c r="A17" s="86" t="str">
        <x:v>CMP014</x:v>
      </x:c>
      <x:c r="B17" s="86" t="str">
        <x:v>Email_Retargeting_04</x:v>
      </x:c>
      <x:c r="C17" s="86" t="str">
        <x:v>Email</x:v>
      </x:c>
      <x:c r="D17" s="86" t="str">
        <x:v>Retargeting</x:v>
      </x:c>
      <x:c r="E17" s="86" t="str">
        <x:v>Consumer</x:v>
      </x:c>
      <x:c r="F17" s="86" t="str">
        <x:v>South</x:v>
      </x:c>
      <x:c r="G17" s="10" t="n">
        <x:f>SUMIFS('Campaign Data'!$L:$L,'Campaign Data'!$B:$B,$A17)</x:f>
        <x:v>293753.49000000005</x:v>
      </x:c>
      <x:c r="H17" s="86" t="n">
        <x:f>SUMIFS('Campaign Data'!$K:$K,'Campaign Data'!$B:$B,$A17)</x:f>
        <x:v>12014</x:v>
      </x:c>
      <x:c r="I17" s="10" t="n">
        <x:f>IFERROR(G17/H17,0)</x:f>
        <x:v>24.450931413351096</x:v>
      </x:c>
      <x:c r="J17" s="10" t="n">
        <x:f>SUMIFS('Campaign Data'!$M:$M,'Campaign Data'!$B:$B,$A17)</x:f>
        <x:v>2832186.4</x:v>
      </x:c>
      <x:c r="K17" s="40" t="n">
        <x:f>IFERROR(J17/G17,0)</x:f>
        <x:v>9.64137106932755</x:v>
      </x:c>
      <x:c r="L17" s="38" t="n">
        <x:f>IFERROR((J17-G17)/G17,0)</x:f>
        <x:v>8.641371069327548</x:v>
      </x:c>
      <x:c r="M17" s="86" t="str">
        <x:f>IF(K17&gt;=4,"Scale / protect",IF(K17&gt;=2,"Optimize",IF(K17&gt;=1,"Review","Reduce / test")) )</x:f>
        <x:v>Scale / protect</x:v>
      </x:c>
    </x:row>
    <x:row r="18">
      <x:c r="A18" s="86" t="str">
        <x:v>CMP015</x:v>
      </x:c>
      <x:c r="B18" s="86" t="str">
        <x:v>Email_Retargeting_05</x:v>
      </x:c>
      <x:c r="C18" s="86" t="str">
        <x:v>Email</x:v>
      </x:c>
      <x:c r="D18" s="86" t="str">
        <x:v>Retargeting</x:v>
      </x:c>
      <x:c r="E18" s="86" t="str">
        <x:v>SMB</x:v>
      </x:c>
      <x:c r="F18" s="86" t="str">
        <x:v>North</x:v>
      </x:c>
      <x:c r="G18" s="10" t="n">
        <x:f>SUMIFS('Campaign Data'!$L:$L,'Campaign Data'!$B:$B,$A18)</x:f>
        <x:v>181861.83000000002</x:v>
      </x:c>
      <x:c r="H18" s="86" t="n">
        <x:f>SUMIFS('Campaign Data'!$K:$K,'Campaign Data'!$B:$B,$A18)</x:f>
        <x:v>3679</x:v>
      </x:c>
      <x:c r="I18" s="10" t="n">
        <x:f>IFERROR(G18/H18,0)</x:f>
        <x:v>49.43240826311498</x:v>
      </x:c>
      <x:c r="J18" s="10" t="n">
        <x:f>SUMIFS('Campaign Data'!$M:$M,'Campaign Data'!$B:$B,$A18)</x:f>
        <x:v>868612.1299999999</x:v>
      </x:c>
      <x:c r="K18" s="40" t="n">
        <x:f>IFERROR(J18/G18,0)</x:f>
        <x:v>4.776220111718879</x:v>
      </x:c>
      <x:c r="L18" s="38" t="n">
        <x:f>IFERROR((J18-G18)/G18,0)</x:f>
        <x:v>3.776220111718879</x:v>
      </x:c>
      <x:c r="M18" s="86" t="str">
        <x:f>IF(K18&gt;=4,"Scale / protect",IF(K18&gt;=2,"Optimize",IF(K18&gt;=1,"Review","Reduce / test")) )</x:f>
        <x:v>Scale / protect</x:v>
      </x:c>
    </x:row>
    <x:row r="19">
      <x:c r="A19" s="86" t="str">
        <x:v>CMP016</x:v>
      </x:c>
      <x:c r="B19" s="86" t="str">
        <x:v>Affiliate_LeadGen_01</x:v>
      </x:c>
      <x:c r="C19" s="86" t="str">
        <x:v>Affiliate</x:v>
      </x:c>
      <x:c r="D19" s="86" t="str">
        <x:v>Lead Gen</x:v>
      </x:c>
      <x:c r="E19" s="86" t="str">
        <x:v>B2B</x:v>
      </x:c>
      <x:c r="F19" s="86" t="str">
        <x:v>North</x:v>
      </x:c>
      <x:c r="G19" s="10" t="n">
        <x:f>SUMIFS('Campaign Data'!$L:$L,'Campaign Data'!$B:$B,$A19)</x:f>
        <x:v>382537.13000000006</x:v>
      </x:c>
      <x:c r="H19" s="86" t="n">
        <x:f>SUMIFS('Campaign Data'!$K:$K,'Campaign Data'!$B:$B,$A19)</x:f>
        <x:v>3377</x:v>
      </x:c>
      <x:c r="I19" s="10" t="n">
        <x:f>IFERROR(G19/H19,0)</x:f>
        <x:v>113.27720758069295</x:v>
      </x:c>
      <x:c r="J19" s="10" t="n">
        <x:f>SUMIFS('Campaign Data'!$M:$M,'Campaign Data'!$B:$B,$A19)</x:f>
        <x:v>2389570.85</x:v>
      </x:c>
      <x:c r="K19" s="40" t="n">
        <x:f>IFERROR(J19/G19,0)</x:f>
        <x:v>6.246637679328017</x:v>
      </x:c>
      <x:c r="L19" s="38" t="n">
        <x:f>IFERROR((J19-G19)/G19,0)</x:f>
        <x:v>5.246637679328016</x:v>
      </x:c>
      <x:c r="M19" s="86" t="str">
        <x:f>IF(K19&gt;=4,"Scale / protect",IF(K19&gt;=2,"Optimize",IF(K19&gt;=1,"Review","Reduce / test")) )</x:f>
        <x:v>Scale / protect</x:v>
      </x:c>
    </x:row>
    <x:row r="20">
      <x:c r="A20" s="86" t="str">
        <x:v>CMP017</x:v>
      </x:c>
      <x:c r="B20" s="86" t="str">
        <x:v>Affiliate_Retargeting_02</x:v>
      </x:c>
      <x:c r="C20" s="86" t="str">
        <x:v>Affiliate</x:v>
      </x:c>
      <x:c r="D20" s="86" t="str">
        <x:v>Retargeting</x:v>
      </x:c>
      <x:c r="E20" s="86" t="str">
        <x:v>Mid-Market</x:v>
      </x:c>
      <x:c r="F20" s="86" t="str">
        <x:v>South</x:v>
      </x:c>
      <x:c r="G20" s="10" t="n">
        <x:f>SUMIFS('Campaign Data'!$L:$L,'Campaign Data'!$B:$B,$A20)</x:f>
        <x:v>291146.06</x:v>
      </x:c>
      <x:c r="H20" s="86" t="n">
        <x:f>SUMIFS('Campaign Data'!$K:$K,'Campaign Data'!$B:$B,$A20)</x:f>
        <x:v>1759</x:v>
      </x:c>
      <x:c r="I20" s="10" t="n">
        <x:f>IFERROR(G20/H20,0)</x:f>
        <x:v>165.5179420125071</x:v>
      </x:c>
      <x:c r="J20" s="10" t="n">
        <x:f>SUMIFS('Campaign Data'!$M:$M,'Campaign Data'!$B:$B,$A20)</x:f>
        <x:v>1291814.98</x:v>
      </x:c>
      <x:c r="K20" s="40" t="n">
        <x:f>IFERROR(J20/G20,0)</x:f>
        <x:v>4.436999696990576</x:v>
      </x:c>
      <x:c r="L20" s="38" t="n">
        <x:f>IFERROR((J20-G20)/G20,0)</x:f>
        <x:v>3.4369996969905756</x:v>
      </x:c>
      <x:c r="M20" s="86" t="str">
        <x:f>IF(K20&gt;=4,"Scale / protect",IF(K20&gt;=2,"Optimize",IF(K20&gt;=1,"Review","Reduce / test")) )</x:f>
        <x:v>Scale / protect</x:v>
      </x:c>
    </x:row>
    <x:row r="21">
      <x:c r="A21" s="86" t="str">
        <x:v>CMP018</x:v>
      </x:c>
      <x:c r="B21" s="86" t="str">
        <x:v>Affiliate_Acquisition_03</x:v>
      </x:c>
      <x:c r="C21" s="86" t="str">
        <x:v>Affiliate</x:v>
      </x:c>
      <x:c r="D21" s="86" t="str">
        <x:v>Acquisition</x:v>
      </x:c>
      <x:c r="E21" s="86" t="str">
        <x:v>Mid-Market</x:v>
      </x:c>
      <x:c r="F21" s="86" t="str">
        <x:v>West</x:v>
      </x:c>
      <x:c r="G21" s="10" t="n">
        <x:f>SUMIFS('Campaign Data'!$L:$L,'Campaign Data'!$B:$B,$A21)</x:f>
        <x:v>458242.52</x:v>
      </x:c>
      <x:c r="H21" s="86" t="n">
        <x:f>SUMIFS('Campaign Data'!$K:$K,'Campaign Data'!$B:$B,$A21)</x:f>
        <x:v>4929</x:v>
      </x:c>
      <x:c r="I21" s="10" t="n">
        <x:f>IFERROR(G21/H21,0)</x:f>
        <x:v>92.96865895719213</x:v>
      </x:c>
      <x:c r="J21" s="10" t="n">
        <x:f>SUMIFS('Campaign Data'!$M:$M,'Campaign Data'!$B:$B,$A21)</x:f>
        <x:v>3246830.05</x:v>
      </x:c>
      <x:c r="K21" s="40" t="n">
        <x:f>IFERROR(J21/G21,0)</x:f>
        <x:v>7.085396723987987</x:v>
      </x:c>
      <x:c r="L21" s="38" t="n">
        <x:f>IFERROR((J21-G21)/G21,0)</x:f>
        <x:v>6.085396723987987</x:v>
      </x:c>
      <x:c r="M21" s="86" t="str">
        <x:f>IF(K21&gt;=4,"Scale / protect",IF(K21&gt;=2,"Optimize",IF(K21&gt;=1,"Review","Reduce / test")) )</x:f>
        <x:v>Scale / protect</x:v>
      </x:c>
    </x:row>
    <x:row r="22">
      <x:c r="A22" s="86" t="str">
        <x:v>CMP019</x:v>
      </x:c>
      <x:c r="B22" s="86" t="str">
        <x:v>Affiliate_Retargeting_04</x:v>
      </x:c>
      <x:c r="C22" s="86" t="str">
        <x:v>Affiliate</x:v>
      </x:c>
      <x:c r="D22" s="86" t="str">
        <x:v>Retargeting</x:v>
      </x:c>
      <x:c r="E22" s="86" t="str">
        <x:v>Consumer</x:v>
      </x:c>
      <x:c r="F22" s="86" t="str">
        <x:v>South</x:v>
      </x:c>
      <x:c r="G22" s="10" t="n">
        <x:f>SUMIFS('Campaign Data'!$L:$L,'Campaign Data'!$B:$B,$A22)</x:f>
        <x:v>408127.44</x:v>
      </x:c>
      <x:c r="H22" s="86" t="n">
        <x:f>SUMIFS('Campaign Data'!$K:$K,'Campaign Data'!$B:$B,$A22)</x:f>
        <x:v>3776</x:v>
      </x:c>
      <x:c r="I22" s="10" t="n">
        <x:f>IFERROR(G22/H22,0)</x:f>
        <x:v>108.08459745762713</x:v>
      </x:c>
      <x:c r="J22" s="10" t="n">
        <x:f>SUMIFS('Campaign Data'!$M:$M,'Campaign Data'!$B:$B,$A22)</x:f>
        <x:v>2759458.59</x:v>
      </x:c>
      <x:c r="K22" s="40" t="n">
        <x:f>IFERROR(J22/G22,0)</x:f>
        <x:v>6.761266995426722</x:v>
      </x:c>
      <x:c r="L22" s="38" t="n">
        <x:f>IFERROR((J22-G22)/G22,0)</x:f>
        <x:v>5.761266995426722</x:v>
      </x:c>
      <x:c r="M22" s="86" t="str">
        <x:f>IF(K22&gt;=4,"Scale / protect",IF(K22&gt;=2,"Optimize",IF(K22&gt;=1,"Review","Reduce / test")) )</x:f>
        <x:v>Scale / protect</x:v>
      </x:c>
    </x:row>
    <x:row r="23">
      <x:c r="A23" s="86" t="str">
        <x:v>CMP020</x:v>
      </x:c>
      <x:c r="B23" s="86" t="str">
        <x:v>Affiliate_LeadGen_05</x:v>
      </x:c>
      <x:c r="C23" s="86" t="str">
        <x:v>Affiliate</x:v>
      </x:c>
      <x:c r="D23" s="86" t="str">
        <x:v>Lead Gen</x:v>
      </x:c>
      <x:c r="E23" s="86" t="str">
        <x:v>Consumer</x:v>
      </x:c>
      <x:c r="F23" s="86" t="str">
        <x:v>East</x:v>
      </x:c>
      <x:c r="G23" s="10" t="n">
        <x:f>SUMIFS('Campaign Data'!$L:$L,'Campaign Data'!$B:$B,$A23)</x:f>
        <x:v>369162.19</x:v>
      </x:c>
      <x:c r="H23" s="86" t="n">
        <x:f>SUMIFS('Campaign Data'!$K:$K,'Campaign Data'!$B:$B,$A23)</x:f>
        <x:v>3441</x:v>
      </x:c>
      <x:c r="I23" s="10" t="n">
        <x:f>IFERROR(G23/H23,0)</x:f>
        <x:v>107.28340308049985</x:v>
      </x:c>
      <x:c r="J23" s="10" t="n">
        <x:f>SUMIFS('Campaign Data'!$M:$M,'Campaign Data'!$B:$B,$A23)</x:f>
        <x:v>2277100.4299999997</x:v>
      </x:c>
      <x:c r="K23" s="40" t="n">
        <x:f>IFERROR(J23/G23,0)</x:f>
        <x:v>6.168292668325539</x:v>
      </x:c>
      <x:c r="L23" s="38" t="n">
        <x:f>IFERROR((J23-G23)/G23,0)</x:f>
        <x:v>5.168292668325539</x:v>
      </x:c>
      <x:c r="M23" s="86" t="str">
        <x:f>IF(K23&gt;=4,"Scale / protect",IF(K23&gt;=2,"Optimize",IF(K23&gt;=1,"Review","Reduce / test")) )</x:f>
        <x:v>Scale / protect</x:v>
      </x:c>
    </x:row>
    <x:row r="24">
      <x:c r="A24" s="86" t="str">
        <x:v>CMP021</x:v>
      </x:c>
      <x:c r="B24" s="86" t="str">
        <x:v>Display_LeadGen_01</x:v>
      </x:c>
      <x:c r="C24" s="86" t="str">
        <x:v>Display</x:v>
      </x:c>
      <x:c r="D24" s="86" t="str">
        <x:v>Lead Gen</x:v>
      </x:c>
      <x:c r="E24" s="86" t="str">
        <x:v>Mid-Market</x:v>
      </x:c>
      <x:c r="F24" s="86" t="str">
        <x:v>East</x:v>
      </x:c>
      <x:c r="G24" s="10" t="n">
        <x:f>SUMIFS('Campaign Data'!$L:$L,'Campaign Data'!$B:$B,$A24)</x:f>
        <x:v>293008.5</x:v>
      </x:c>
      <x:c r="H24" s="86" t="n">
        <x:f>SUMIFS('Campaign Data'!$K:$K,'Campaign Data'!$B:$B,$A24)</x:f>
        <x:v>263</x:v>
      </x:c>
      <x:c r="I24" s="10" t="n">
        <x:f>IFERROR(G24/H24,0)</x:f>
        <x:v>1114.1007604562737</x:v>
      </x:c>
      <x:c r="J24" s="10" t="n">
        <x:f>SUMIFS('Campaign Data'!$M:$M,'Campaign Data'!$B:$B,$A24)</x:f>
        <x:v>223793.01999999996</x:v>
      </x:c>
      <x:c r="K24" s="40" t="n">
        <x:f>IFERROR(J24/G24,0)</x:f>
        <x:v>0.7637765457316084</x:v>
      </x:c>
      <x:c r="L24" s="38" t="n">
        <x:f>IFERROR((J24-G24)/G24,0)</x:f>
        <x:v>-0.23622345426839167</x:v>
      </x:c>
      <x:c r="M24" s="86" t="str">
        <x:f>IF(K24&gt;=4,"Scale / protect",IF(K24&gt;=2,"Optimize",IF(K24&gt;=1,"Review","Reduce / test")) )</x:f>
        <x:v>Reduce / test</x:v>
      </x:c>
    </x:row>
    <x:row r="25">
      <x:c r="A25" s="86" t="str">
        <x:v>CMP022</x:v>
      </x:c>
      <x:c r="B25" s="86" t="str">
        <x:v>Display_Acquisition_02</x:v>
      </x:c>
      <x:c r="C25" s="86" t="str">
        <x:v>Display</x:v>
      </x:c>
      <x:c r="D25" s="86" t="str">
        <x:v>Acquisition</x:v>
      </x:c>
      <x:c r="E25" s="86" t="str">
        <x:v>Mid-Market</x:v>
      </x:c>
      <x:c r="F25" s="86" t="str">
        <x:v>South</x:v>
      </x:c>
      <x:c r="G25" s="10" t="n">
        <x:f>SUMIFS('Campaign Data'!$L:$L,'Campaign Data'!$B:$B,$A25)</x:f>
        <x:v>356509.86</x:v>
      </x:c>
      <x:c r="H25" s="86" t="n">
        <x:f>SUMIFS('Campaign Data'!$K:$K,'Campaign Data'!$B:$B,$A25)</x:f>
        <x:v>405</x:v>
      </x:c>
      <x:c r="I25" s="10" t="n">
        <x:f>IFERROR(G25/H25,0)</x:f>
        <x:v>880.2712592592592</x:v>
      </x:c>
      <x:c r="J25" s="10" t="n">
        <x:f>SUMIFS('Campaign Data'!$M:$M,'Campaign Data'!$B:$B,$A25)</x:f>
        <x:v>346121.41000000003</x:v>
      </x:c>
      <x:c r="K25" s="40" t="n">
        <x:f>IFERROR(J25/G25,0)</x:f>
        <x:v>0.9708606937266757</x:v>
      </x:c>
      <x:c r="L25" s="38" t="n">
        <x:f>IFERROR((J25-G25)/G25,0)</x:f>
        <x:v>-0.02913930627332426</x:v>
      </x:c>
      <x:c r="M25" s="86" t="str">
        <x:f>IF(K25&gt;=4,"Scale / protect",IF(K25&gt;=2,"Optimize",IF(K25&gt;=1,"Review","Reduce / test")) )</x:f>
        <x:v>Reduce / test</x:v>
      </x:c>
    </x:row>
    <x:row r="26">
      <x:c r="A26" s="86" t="str">
        <x:v>CMP023</x:v>
      </x:c>
      <x:c r="B26" s="86" t="str">
        <x:v>Display_LeadGen_03</x:v>
      </x:c>
      <x:c r="C26" s="86" t="str">
        <x:v>Display</x:v>
      </x:c>
      <x:c r="D26" s="86" t="str">
        <x:v>Lead Gen</x:v>
      </x:c>
      <x:c r="E26" s="86" t="str">
        <x:v>Consumer</x:v>
      </x:c>
      <x:c r="F26" s="86" t="str">
        <x:v>West</x:v>
      </x:c>
      <x:c r="G26" s="10" t="n">
        <x:f>SUMIFS('Campaign Data'!$L:$L,'Campaign Data'!$B:$B,$A26)</x:f>
        <x:v>347111.14</x:v>
      </x:c>
      <x:c r="H26" s="86" t="n">
        <x:f>SUMIFS('Campaign Data'!$K:$K,'Campaign Data'!$B:$B,$A26)</x:f>
        <x:v>358</x:v>
      </x:c>
      <x:c r="I26" s="10" t="n">
        <x:f>IFERROR(G26/H26,0)</x:f>
        <x:v>969.5841899441341</x:v>
      </x:c>
      <x:c r="J26" s="10" t="n">
        <x:f>SUMIFS('Campaign Data'!$M:$M,'Campaign Data'!$B:$B,$A26)</x:f>
        <x:v>306140.33999999997</x:v>
      </x:c>
      <x:c r="K26" s="40" t="n">
        <x:f>IFERROR(J26/G26,0)</x:f>
        <x:v>0.881966335047616</x:v>
      </x:c>
      <x:c r="L26" s="38" t="n">
        <x:f>IFERROR((J26-G26)/G26,0)</x:f>
        <x:v>-0.11803366495238397</x:v>
      </x:c>
      <x:c r="M26" s="86" t="str">
        <x:f>IF(K26&gt;=4,"Scale / protect",IF(K26&gt;=2,"Optimize",IF(K26&gt;=1,"Review","Reduce / test")) )</x:f>
        <x:v>Reduce / test</x:v>
      </x:c>
    </x:row>
    <x:row r="27">
      <x:c r="A27" s="86" t="str">
        <x:v>CMP024</x:v>
      </x:c>
      <x:c r="B27" s="86" t="str">
        <x:v>Display_LeadGen_04</x:v>
      </x:c>
      <x:c r="C27" s="86" t="str">
        <x:v>Display</x:v>
      </x:c>
      <x:c r="D27" s="86" t="str">
        <x:v>Lead Gen</x:v>
      </x:c>
      <x:c r="E27" s="86" t="str">
        <x:v>SMB</x:v>
      </x:c>
      <x:c r="F27" s="86" t="str">
        <x:v>East</x:v>
      </x:c>
      <x:c r="G27" s="10" t="n">
        <x:f>SUMIFS('Campaign Data'!$L:$L,'Campaign Data'!$B:$B,$A27)</x:f>
        <x:v>340868.60000000003</x:v>
      </x:c>
      <x:c r="H27" s="86" t="n">
        <x:f>SUMIFS('Campaign Data'!$K:$K,'Campaign Data'!$B:$B,$A27)</x:f>
        <x:v>381</x:v>
      </x:c>
      <x:c r="I27" s="10" t="n">
        <x:f>IFERROR(G27/H27,0)</x:f>
        <x:v>894.6682414698164</x:v>
      </x:c>
      <x:c r="J27" s="10" t="n">
        <x:f>SUMIFS('Campaign Data'!$M:$M,'Campaign Data'!$B:$B,$A27)</x:f>
        <x:v>326625.33999999997</x:v>
      </x:c>
      <x:c r="K27" s="40" t="n">
        <x:f>IFERROR(J27/G27,0)</x:f>
        <x:v>0.958214807700093</x:v>
      </x:c>
      <x:c r="L27" s="38" t="n">
        <x:f>IFERROR((J27-G27)/G27,0)</x:f>
        <x:v>-0.04178519229990696</x:v>
      </x:c>
      <x:c r="M27" s="86" t="str">
        <x:f>IF(K27&gt;=4,"Scale / protect",IF(K27&gt;=2,"Optimize",IF(K27&gt;=1,"Review","Reduce / test")) )</x:f>
        <x:v>Reduce / test</x:v>
      </x:c>
    </x:row>
    <x:row r="28">
      <x:c r="A28" s="86" t="str">
        <x:v>CMP025</x:v>
      </x:c>
      <x:c r="B28" s="86" t="str">
        <x:v>Display_Retargeting_05</x:v>
      </x:c>
      <x:c r="C28" s="86" t="str">
        <x:v>Display</x:v>
      </x:c>
      <x:c r="D28" s="86" t="str">
        <x:v>Retargeting</x:v>
      </x:c>
      <x:c r="E28" s="86" t="str">
        <x:v>Mid-Market</x:v>
      </x:c>
      <x:c r="F28" s="86" t="str">
        <x:v>West</x:v>
      </x:c>
      <x:c r="G28" s="10" t="n">
        <x:f>SUMIFS('Campaign Data'!$L:$L,'Campaign Data'!$B:$B,$A28)</x:f>
        <x:v>357066.4699999999</x:v>
      </x:c>
      <x:c r="H28" s="86" t="n">
        <x:f>SUMIFS('Campaign Data'!$K:$K,'Campaign Data'!$B:$B,$A28)</x:f>
        <x:v>458</x:v>
      </x:c>
      <x:c r="I28" s="10" t="n">
        <x:f>IFERROR(G28/H28,0)</x:f>
        <x:v>779.6211135371177</x:v>
      </x:c>
      <x:c r="J28" s="10" t="n">
        <x:f>SUMIFS('Campaign Data'!$M:$M,'Campaign Data'!$B:$B,$A28)</x:f>
        <x:v>449267.4399999998</x:v>
      </x:c>
      <x:c r="K28" s="40" t="n">
        <x:f>IFERROR(J28/G28,0)</x:f>
        <x:v>1.2582179446868813</x:v>
      </x:c>
      <x:c r="L28" s="38" t="n">
        <x:f>IFERROR((J28-G28)/G28,0)</x:f>
        <x:v>0.25821794468688125</x:v>
      </x:c>
      <x:c r="M28" s="86" t="str">
        <x:f>IF(K28&gt;=4,"Scale / protect",IF(K28&gt;=2,"Optimize",IF(K28&gt;=1,"Review","Reduce / test")) )</x:f>
        <x:v>Review</x:v>
      </x:c>
    </x:row>
    <x:row r="29">
      <x:c r="A29" s="86" t="str">
        <x:v>CMP026</x:v>
      </x:c>
      <x:c r="B29" s="86" t="str">
        <x:v>Video_Acquisition_01</x:v>
      </x:c>
      <x:c r="C29" s="86" t="str">
        <x:v>Video</x:v>
      </x:c>
      <x:c r="D29" s="86" t="str">
        <x:v>Acquisition</x:v>
      </x:c>
      <x:c r="E29" s="86" t="str">
        <x:v>Consumer</x:v>
      </x:c>
      <x:c r="F29" s="86" t="str">
        <x:v>South</x:v>
      </x:c>
      <x:c r="G29" s="10" t="n">
        <x:f>SUMIFS('Campaign Data'!$L:$L,'Campaign Data'!$B:$B,$A29)</x:f>
        <x:v>315888.30000000005</x:v>
      </x:c>
      <x:c r="H29" s="86" t="n">
        <x:f>SUMIFS('Campaign Data'!$K:$K,'Campaign Data'!$B:$B,$A29)</x:f>
        <x:v>227</x:v>
      </x:c>
      <x:c r="I29" s="10" t="n">
        <x:f>IFERROR(G29/H29,0)</x:f>
        <x:v>1391.5784140969165</x:v>
      </x:c>
      <x:c r="J29" s="10" t="n">
        <x:f>SUMIFS('Campaign Data'!$M:$M,'Campaign Data'!$B:$B,$A29)</x:f>
        <x:v>216188.39</x:v>
      </x:c>
      <x:c r="K29" s="40" t="n">
        <x:f>IFERROR(J29/G29,0)</x:f>
        <x:v>0.6843823908641123</x:v>
      </x:c>
      <x:c r="L29" s="38" t="n">
        <x:f>IFERROR((J29-G29)/G29,0)</x:f>
        <x:v>-0.31561760913588766</x:v>
      </x:c>
      <x:c r="M29" s="86" t="str">
        <x:f>IF(K29&gt;=4,"Scale / protect",IF(K29&gt;=2,"Optimize",IF(K29&gt;=1,"Review","Reduce / test")) )</x:f>
        <x:v>Reduce / test</x:v>
      </x:c>
    </x:row>
    <x:row r="30">
      <x:c r="A30" s="86" t="str">
        <x:v>CMP027</x:v>
      </x:c>
      <x:c r="B30" s="86" t="str">
        <x:v>Video_LeadGen_02</x:v>
      </x:c>
      <x:c r="C30" s="86" t="str">
        <x:v>Video</x:v>
      </x:c>
      <x:c r="D30" s="86" t="str">
        <x:v>Lead Gen</x:v>
      </x:c>
      <x:c r="E30" s="86" t="str">
        <x:v>Consumer</x:v>
      </x:c>
      <x:c r="F30" s="86" t="str">
        <x:v>East</x:v>
      </x:c>
      <x:c r="G30" s="10" t="n">
        <x:f>SUMIFS('Campaign Data'!$L:$L,'Campaign Data'!$B:$B,$A30)</x:f>
        <x:v>373059.15</x:v>
      </x:c>
      <x:c r="H30" s="86" t="n">
        <x:f>SUMIFS('Campaign Data'!$K:$K,'Campaign Data'!$B:$B,$A30)</x:f>
        <x:v>324</x:v>
      </x:c>
      <x:c r="I30" s="10" t="n">
        <x:f>IFERROR(G30/H30,0)</x:f>
        <x:v>1151.4171296296297</x:v>
      </x:c>
      <x:c r="J30" s="10" t="n">
        <x:f>SUMIFS('Campaign Data'!$M:$M,'Campaign Data'!$B:$B,$A30)</x:f>
        <x:v>312098.17</x:v>
      </x:c>
      <x:c r="K30" s="40" t="n">
        <x:f>IFERROR(J30/G30,0)</x:f>
        <x:v>0.8365916504125417</x:v>
      </x:c>
      <x:c r="L30" s="38" t="n">
        <x:f>IFERROR((J30-G30)/G30,0)</x:f>
        <x:v>-0.16340834958745828</x:v>
      </x:c>
      <x:c r="M30" s="86" t="str">
        <x:f>IF(K30&gt;=4,"Scale / protect",IF(K30&gt;=2,"Optimize",IF(K30&gt;=1,"Review","Reduce / test")) )</x:f>
        <x:v>Reduce / test</x:v>
      </x:c>
    </x:row>
    <x:row r="31">
      <x:c r="A31" s="86" t="str">
        <x:v>CMP028</x:v>
      </x:c>
      <x:c r="B31" s="86" t="str">
        <x:v>Video_LeadGen_03</x:v>
      </x:c>
      <x:c r="C31" s="86" t="str">
        <x:v>Video</x:v>
      </x:c>
      <x:c r="D31" s="86" t="str">
        <x:v>Lead Gen</x:v>
      </x:c>
      <x:c r="E31" s="86" t="str">
        <x:v>B2B</x:v>
      </x:c>
      <x:c r="F31" s="86" t="str">
        <x:v>North</x:v>
      </x:c>
      <x:c r="G31" s="10" t="n">
        <x:f>SUMIFS('Campaign Data'!$L:$L,'Campaign Data'!$B:$B,$A31)</x:f>
        <x:v>274347.98</x:v>
      </x:c>
      <x:c r="H31" s="86" t="n">
        <x:f>SUMIFS('Campaign Data'!$K:$K,'Campaign Data'!$B:$B,$A31)</x:f>
        <x:v>139</x:v>
      </x:c>
      <x:c r="I31" s="10" t="n">
        <x:f>IFERROR(G31/H31,0)</x:f>
        <x:v>1973.7264748201437</x:v>
      </x:c>
      <x:c r="J31" s="10" t="n">
        <x:f>SUMIFS('Campaign Data'!$M:$M,'Campaign Data'!$B:$B,$A31)</x:f>
        <x:v>142634.4</x:v>
      </x:c>
      <x:c r="K31" s="40" t="n">
        <x:f>IFERROR(J31/G31,0)</x:f>
        <x:v>0.5199032265519141</x:v>
      </x:c>
      <x:c r="L31" s="38" t="n">
        <x:f>IFERROR((J31-G31)/G31,0)</x:f>
        <x:v>-0.4800967734480859</x:v>
      </x:c>
      <x:c r="M31" s="86" t="str">
        <x:f>IF(K31&gt;=4,"Scale / protect",IF(K31&gt;=2,"Optimize",IF(K31&gt;=1,"Review","Reduce / test")) )</x:f>
        <x:v>Reduce / test</x:v>
      </x:c>
    </x:row>
    <x:row r="32">
      <x:c r="A32" s="86" t="str">
        <x:v>CMP029</x:v>
      </x:c>
      <x:c r="B32" s="86" t="str">
        <x:v>Video_LeadGen_04</x:v>
      </x:c>
      <x:c r="C32" s="86" t="str">
        <x:v>Video</x:v>
      </x:c>
      <x:c r="D32" s="86" t="str">
        <x:v>Lead Gen</x:v>
      </x:c>
      <x:c r="E32" s="86" t="str">
        <x:v>Consumer</x:v>
      </x:c>
      <x:c r="F32" s="86" t="str">
        <x:v>East</x:v>
      </x:c>
      <x:c r="G32" s="10" t="n">
        <x:f>SUMIFS('Campaign Data'!$L:$L,'Campaign Data'!$B:$B,$A32)</x:f>
        <x:v>220489.83000000002</x:v>
      </x:c>
      <x:c r="H32" s="86" t="n">
        <x:f>SUMIFS('Campaign Data'!$K:$K,'Campaign Data'!$B:$B,$A32)</x:f>
        <x:v>87</x:v>
      </x:c>
      <x:c r="I32" s="10" t="n">
        <x:f>IFERROR(G32/H32,0)</x:f>
        <x:v>2534.3658620689657</x:v>
      </x:c>
      <x:c r="J32" s="10" t="n">
        <x:f>SUMIFS('Campaign Data'!$M:$M,'Campaign Data'!$B:$B,$A32)</x:f>
        <x:v>86173.88</x:v>
      </x:c>
      <x:c r="K32" s="40" t="n">
        <x:f>IFERROR(J32/G32,0)</x:f>
        <x:v>0.39082927316874433</x:v>
      </x:c>
      <x:c r="L32" s="38" t="n">
        <x:f>IFERROR((J32-G32)/G32,0)</x:f>
        <x:v>-0.6091707268312557</x:v>
      </x:c>
      <x:c r="M32" s="86" t="str">
        <x:f>IF(K32&gt;=4,"Scale / protect",IF(K32&gt;=2,"Optimize",IF(K32&gt;=1,"Review","Reduce / test")) )</x:f>
        <x:v>Reduce / test</x:v>
      </x:c>
    </x:row>
    <x:row r="33">
      <x:c r="A33" s="86" t="str">
        <x:v>CMP030</x:v>
      </x:c>
      <x:c r="B33" s="86" t="str">
        <x:v>Video_Retargeting_05</x:v>
      </x:c>
      <x:c r="C33" s="86" t="str">
        <x:v>Video</x:v>
      </x:c>
      <x:c r="D33" s="86" t="str">
        <x:v>Retargeting</x:v>
      </x:c>
      <x:c r="E33" s="86" t="str">
        <x:v>B2B</x:v>
      </x:c>
      <x:c r="F33" s="86" t="str">
        <x:v>North</x:v>
      </x:c>
      <x:c r="G33" s="10" t="n">
        <x:f>SUMIFS('Campaign Data'!$L:$L,'Campaign Data'!$B:$B,$A33)</x:f>
        <x:v>298371.6</x:v>
      </x:c>
      <x:c r="H33" s="86" t="n">
        <x:f>SUMIFS('Campaign Data'!$K:$K,'Campaign Data'!$B:$B,$A33)</x:f>
        <x:v>183</x:v>
      </x:c>
      <x:c r="I33" s="10" t="n">
        <x:f>IFERROR(G33/H33,0)</x:f>
        <x:v>1630.4459016393441</x:v>
      </x:c>
      <x:c r="J33" s="10" t="n">
        <x:f>SUMIFS('Campaign Data'!$M:$M,'Campaign Data'!$B:$B,$A33)</x:f>
        <x:v>212978.30000000002</x:v>
      </x:c>
      <x:c r="K33" s="40" t="n">
        <x:f>IFERROR(J33/G33,0)</x:f>
        <x:v>0.7138021849264475</x:v>
      </x:c>
      <x:c r="L33" s="38" t="n">
        <x:f>IFERROR((J33-G33)/G33,0)</x:f>
        <x:v>-0.28619781507355246</x:v>
      </x:c>
      <x:c r="M33" s="86" t="str">
        <x:f>IF(K33&gt;=4,"Scale / protect",IF(K33&gt;=2,"Optimize",IF(K33&gt;=1,"Review","Reduce / test")) )</x:f>
        <x:v>Reduce / test</x:v>
      </x:c>
    </x:row>
  </x:sheetData>
  <x:mergeCells>
    <x:mergeCell ref="A1:M1"/>
  </x:mergeCells>
  <x:conditionalFormatting sqref="K4:K3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10" max="10" width="22" hidden="0" customWidth="1"/>
    <x:col min="11" max="11" width="16" hidden="0" customWidth="1"/>
  </x:cols>
  <x:sheetData>
    <x:row r="1">
      <x:c r="A1" s="20" t="str">
        <x:v>Budget Reallocation Scenario</x:v>
      </x:c>
    </x:row>
    <x:row r="3">
      <x:c r="A3" s="31" t="str">
        <x:v>Scenario assumption</x:v>
      </x:c>
      <x:c r="B3" s="31" t="str">
        <x:v>Value</x:v>
      </x:c>
      <x:c r="D3" s="31" t="str">
        <x:v>Target assumption</x:v>
      </x:c>
      <x:c r="E3" s="31" t="str">
        <x:v>Value</x:v>
      </x:c>
    </x:row>
    <x:row r="4">
      <x:c r="A4" t="str">
        <x:v>Total budget reallocated</x:v>
      </x:c>
      <x:c r="B4" s="50" t="n">
        <x:v>0.15</x:v>
      </x:c>
      <x:c r="D4" t="str">
        <x:v>Target: Affiliate addition share</x:v>
      </x:c>
      <x:c r="E4" t="n">
        <x:v>0.35</x:v>
      </x:c>
    </x:row>
    <x:row r="5">
      <x:c r="A5" t="str">
        <x:v>Source: Video reduction share</x:v>
      </x:c>
      <x:c r="B5" s="50" t="n">
        <x:v>0.5</x:v>
      </x:c>
      <x:c r="D5" t="str">
        <x:v>Target: Paid Search addition share</x:v>
      </x:c>
      <x:c r="E5" t="n">
        <x:v>0.2</x:v>
      </x:c>
    </x:row>
    <x:row r="6">
      <x:c r="A6" t="str">
        <x:v>Source: Display reduction share</x:v>
      </x:c>
      <x:c r="B6" s="50" t="n">
        <x:v>0.35</x:v>
      </x:c>
      <x:c r="D6" t="str">
        <x:v>Historical ROAS used</x:v>
      </x:c>
      <x:c r="E6" t="str">
        <x:v>Historical channel ROAS</x:v>
      </x:c>
    </x:row>
    <x:row r="7">
      <x:c r="A7" t="str">
        <x:v>Source: Paid Social reduction share</x:v>
      </x:c>
      <x:c r="B7" s="50" t="n">
        <x:v>0.15</x:v>
      </x:c>
      <x:c r="D7" t="str">
        <x:v>Planning caveat</x:v>
      </x:c>
      <x:c r="E7" t="str">
        <x:v>Assumes historical ROAS remains stable; not causal.</x:v>
      </x:c>
    </x:row>
    <x:row r="8">
      <x:c r="A8" t="str">
        <x:v>Target: Email addition share</x:v>
      </x:c>
      <x:c r="B8" s="50" t="n">
        <x:v>0.45</x:v>
      </x:c>
    </x:row>
    <x:row r="10">
      <x:c r="A10" s="32" t="str">
        <x:v>Channel</x:v>
      </x:c>
      <x:c r="B10" s="32" t="str">
        <x:v>Current Spend</x:v>
      </x:c>
      <x:c r="C10" s="32" t="str">
        <x:v>Historical ROAS</x:v>
      </x:c>
      <x:c r="D10" s="32" t="str">
        <x:v>Spend Reduction</x:v>
      </x:c>
      <x:c r="E10" s="32" t="str">
        <x:v>Spend Addition</x:v>
      </x:c>
      <x:c r="F10" s="32" t="str">
        <x:v>Scenario Spend</x:v>
      </x:c>
      <x:c r="G10" s="32" t="str">
        <x:v>Expected Revenue</x:v>
      </x:c>
      <x:c r="H10" s="32" t="str">
        <x:v>Scenario Share</x:v>
      </x:c>
      <x:c r="J10" s="31" t="str">
        <x:v>Portfolio KPI</x:v>
      </x:c>
      <x:c r="K10" s="31" t="str">
        <x:v>Value</x:v>
      </x:c>
    </x:row>
    <x:row r="11">
      <x:c r="A11" s="86" t="str">
        <x:v>Affiliate</x:v>
      </x:c>
      <x:c r="B11" s="10" t="n">
        <x:f>SUMIFS('Campaign Data'!$L:$L,'Campaign Data'!$D:$D,$A11)</x:f>
        <x:v>1909215.3400000003</x:v>
      </x:c>
      <x:c r="C11" s="40" t="n">
        <x:f>IFERROR(SUMIFS('Campaign Data'!$M:$M,'Campaign Data'!$D:$D,$A11)/B11,0)</x:f>
        <x:v>6.266854581212404</x:v>
      </x:c>
      <x:c r="D11" s="10" t="n">
        <x:v>0</x:v>
      </x:c>
      <x:c r="E11" s="10" t="n">
        <x:f>$K$11*$B$4*$E$4</x:f>
        <x:v>554793.8308499999</x:v>
      </x:c>
      <x:c r="F11" s="10" t="n">
        <x:f>B11-D11+E11</x:f>
        <x:v>2464009.1708500003</x:v>
      </x:c>
      <x:c r="G11" s="10" t="n">
        <x:f>F11*C11</x:f>
        <x:v>15441587.160490701</x:v>
      </x:c>
      <x:c r="H11" s="38" t="n">
        <x:f>F11/SUM($F$11:$F$16)</x:f>
        <x:v>0.233168565107207</x:v>
      </x:c>
      <x:c r="J11" t="str">
        <x:v>Current Spend</x:v>
      </x:c>
      <x:c r="K11" s="10" t="n">
        <x:f>SUM(B11:B16)</x:f>
        <x:v>10567501.54</x:v>
      </x:c>
    </x:row>
    <x:row r="12">
      <x:c r="A12" s="86" t="str">
        <x:v>Display</x:v>
      </x:c>
      <x:c r="B12" s="10" t="n">
        <x:f>SUMIFS('Campaign Data'!$L:$L,'Campaign Data'!$D:$D,$A12)</x:f>
        <x:v>1694564.57</x:v>
      </x:c>
      <x:c r="C12" s="40" t="n">
        <x:f>IFERROR(SUMIFS('Campaign Data'!$M:$M,'Campaign Data'!$D:$D,$A12)/B12,0)</x:f>
        <x:v>0.974850754728101</x:v>
      </x:c>
      <x:c r="D12" s="10" t="n">
        <x:f>$K$11*$B$4*$B$6</x:f>
        <x:v>554793.8308499999</x:v>
      </x:c>
      <x:c r="E12" s="10" t="n">
        <x:v>0</x:v>
      </x:c>
      <x:c r="F12" s="10" t="n">
        <x:f>B12-D12+E12</x:f>
        <x:v>1139770.7391500003</x:v>
      </x:c>
      <x:c r="G12" s="10" t="n">
        <x:f>F12*C12</x:f>
        <x:v>1111106.3652773832</x:v>
      </x:c>
      <x:c r="H12" s="38" t="n">
        <x:f>F12/SUM($F$11:$F$16)</x:f>
        <x:v>0.10785621699090854</x:v>
      </x:c>
      <x:c r="J12" t="str">
        <x:v>Current Revenue</x:v>
      </x:c>
      <x:c r="K12" s="10" t="n">
        <x:f>SUMPRODUCT(B11:B16,C11:C16)</x:f>
        <x:v>33857079.75</x:v>
      </x:c>
    </x:row>
    <x:row r="13">
      <x:c r="A13" s="86" t="str">
        <x:v>Email</x:v>
      </x:c>
      <x:c r="B13" s="10" t="n">
        <x:f>SUMIFS('Campaign Data'!$L:$L,'Campaign Data'!$D:$D,$A13)</x:f>
        <x:v>1123574.4900000002</x:v>
      </x:c>
      <x:c r="C13" s="40" t="n">
        <x:f>IFERROR(SUMIFS('Campaign Data'!$M:$M,'Campaign Data'!$D:$D,$A13)/B13,0)</x:f>
        <x:v>7.2405763769164935</x:v>
      </x:c>
      <x:c r="D13" s="10" t="n">
        <x:v>0</x:v>
      </x:c>
      <x:c r="E13" s="10" t="n">
        <x:f>$K$11*$B$4*$B$8</x:f>
        <x:v>713306.35395</x:v>
      </x:c>
      <x:c r="F13" s="10" t="n">
        <x:f>B13-D13+E13</x:f>
        <x:v>1836880.8439500001</x:v>
      </x:c>
      <x:c r="G13" s="10" t="n">
        <x:f>F13*C13</x:f>
        <x:v>13300076.045914803</x:v>
      </x:c>
      <x:c r="H13" s="38" t="n">
        <x:f>F13/SUM($F$11:$F$16)</x:f>
        <x:v>0.17382357002713056</x:v>
      </x:c>
      <x:c r="J13" t="str">
        <x:v>Current ROAS</x:v>
      </x:c>
      <x:c r="K13" s="40" t="n">
        <x:f>IFERROR(K12/K11,0)</x:f>
        <x:v>3.203886900024999</x:v>
      </x:c>
    </x:row>
    <x:row r="14">
      <x:c r="A14" s="86" t="str">
        <x:v>Paid Search</x:v>
      </x:c>
      <x:c r="B14" s="10" t="n">
        <x:f>SUMIFS('Campaign Data'!$L:$L,'Campaign Data'!$D:$D,$A14)</x:f>
        <x:v>2354473.5399999996</x:v>
      </x:c>
      <x:c r="C14" s="40" t="n">
        <x:f>IFERROR(SUMIFS('Campaign Data'!$M:$M,'Campaign Data'!$D:$D,$A14)/B14,0)</x:f>
        <x:v>3.555597358719945</x:v>
      </x:c>
      <x:c r="D14" s="10" t="n">
        <x:v>0</x:v>
      </x:c>
      <x:c r="E14" s="10" t="n">
        <x:f>$K$11*$B$4*$E$5</x:f>
        <x:v>317025.0462</x:v>
      </x:c>
      <x:c r="F14" s="10" t="n">
        <x:f>B14-D14+E14</x:f>
        <x:v>2671498.5862</x:v>
      </x:c>
      <x:c r="G14" s="10" t="n">
        <x:f>F14*C14</x:f>
        <x:v>9498773.316916786</x:v>
      </x:c>
      <x:c r="H14" s="38" t="n">
        <x:f>F14/SUM($F$11:$F$16)</x:f>
        <x:v>0.2528032360428688</x:v>
      </x:c>
    </x:row>
    <x:row r="15">
      <x:c r="A15" s="86" t="str">
        <x:v>Paid Social</x:v>
      </x:c>
      <x:c r="B15" s="10" t="n">
        <x:f>SUMIFS('Campaign Data'!$L:$L,'Campaign Data'!$D:$D,$A15)</x:f>
        <x:v>2003516.7400000005</x:v>
      </x:c>
      <x:c r="C15" s="40" t="n">
        <x:f>IFERROR(SUMIFS('Campaign Data'!$M:$M,'Campaign Data'!$D:$D,$A15)/B15,0)</x:f>
        <x:v>1.379273402028076</x:v>
      </x:c>
      <x:c r="D15" s="10" t="n">
        <x:f>$K$11*$B$4*$B$7</x:f>
        <x:v>237768.78465</x:v>
      </x:c>
      <x:c r="E15" s="10" t="n">
        <x:v>0</x:v>
      </x:c>
      <x:c r="F15" s="10" t="n">
        <x:f>B15-D15+E15</x:f>
        <x:v>1765747.9553500004</x:v>
      </x:c>
      <x:c r="G15" s="10" t="n">
        <x:f>F15*C15</x:f>
        <x:v>2435449.189499714</x:v>
      </x:c>
      <x:c r="H15" s="38" t="n">
        <x:f>F15/SUM($F$11:$F$16)</x:f>
        <x:v>0.16709228275636479</x:v>
      </x:c>
      <x:c r="J15" s="31" t="str">
        <x:v>Scenario KPI</x:v>
      </x:c>
      <x:c r="K15" s="31" t="str">
        <x:v>Value</x:v>
      </x:c>
    </x:row>
    <x:row r="16">
      <x:c r="A16" s="86" t="str">
        <x:v>Video</x:v>
      </x:c>
      <x:c r="B16" s="10" t="n">
        <x:f>SUMIFS('Campaign Data'!$L:$L,'Campaign Data'!$D:$D,$A16)</x:f>
        <x:v>1482156.86</x:v>
      </x:c>
      <x:c r="C16" s="40" t="n">
        <x:f>IFERROR(SUMIFS('Campaign Data'!$M:$M,'Campaign Data'!$D:$D,$A16)/B16,0)</x:f>
        <x:v>0.6545009952590308</x:v>
      </x:c>
      <x:c r="D16" s="10" t="n">
        <x:f>$K$11*$B$4*$B$5</x:f>
        <x:v>792562.6155</x:v>
      </x:c>
      <x:c r="E16" s="10" t="n">
        <x:v>0</x:v>
      </x:c>
      <x:c r="F16" s="10" t="n">
        <x:f>B16-D16+E16</x:f>
        <x:v>689594.2445000001</x:v>
      </x:c>
      <x:c r="G16" s="10" t="n">
        <x:f>F16*C16</x:f>
        <x:v>451340.1193501495</x:v>
      </x:c>
      <x:c r="H16" s="38" t="n">
        <x:f>F16/SUM($F$11:$F$16)</x:f>
        <x:v>0.06525612907552035</x:v>
      </x:c>
      <x:c r="J16" t="str">
        <x:v>Scenario Spend</x:v>
      </x:c>
      <x:c r="K16" s="10" t="n">
        <x:f>SUM(F11:F16)</x:f>
        <x:v>10567501.540000001</x:v>
      </x:c>
    </x:row>
    <x:row r="17">
      <x:c r="J17" t="str">
        <x:v>Expected Revenue</x:v>
      </x:c>
      <x:c r="K17" s="10" t="n">
        <x:f>SUM(G11:G16)</x:f>
        <x:v>42238332.197449535</x:v>
      </x:c>
    </x:row>
    <x:row r="18">
      <x:c r="J18" t="str">
        <x:v>Expected ROAS</x:v>
      </x:c>
      <x:c r="K18" s="40" t="n">
        <x:f>IFERROR(K17/K16,0)</x:f>
        <x:v>3.9970027009288263</x:v>
      </x:c>
    </x:row>
    <x:row r="20">
      <x:c r="A20" s="54" t="str">
        <x:v>Recommendation: Move 15% of total spend away from Video, Display and Paid Social toward Email, Affiliate and Paid Search. This scenario uses historical channel ROAS as a planning assumption; it should be validated through controlled budget tests before implementation.</x:v>
      </x:c>
    </x:row>
  </x:sheetData>
  <x:mergeCells>
    <x:mergeCell ref="A1:J1"/>
    <x:mergeCell ref="A20:H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16" hidden="0" customWidth="1"/>
    <x:col min="5" max="5" width="16" hidden="0" customWidth="1"/>
    <x:col min="6" max="6" width="14" hidden="0" customWidth="1"/>
    <x:col min="7" max="7" width="12" hidden="0" customWidth="1"/>
    <x:col min="8" max="8" width="14" hidden="0" customWidth="1"/>
    <x:col min="9" max="9" width="12" hidden="0" customWidth="1"/>
    <x:col min="10" max="10" width="10" hidden="0" customWidth="1"/>
    <x:col min="11" max="11" width="12" hidden="0" customWidth="1"/>
    <x:col min="12" max="12" width="14" hidden="0" customWidth="1"/>
    <x:col min="13" max="13" width="16" hidden="0" customWidth="1"/>
  </x:cols>
  <x:sheetData>
    <x:row r="1">
      <x:c r="A1" s="12" t="str">
        <x:v>campaign_date</x:v>
      </x:c>
      <x:c r="B1" s="12" t="str">
        <x:v>campaign_id</x:v>
      </x:c>
      <x:c r="C1" s="12" t="str">
        <x:v>campaign_name</x:v>
      </x:c>
      <x:c r="D1" s="12" t="str">
        <x:v>channel</x:v>
      </x:c>
      <x:c r="E1" s="12" t="str">
        <x:v>campaign_type</x:v>
      </x:c>
      <x:c r="F1" s="12" t="str">
        <x:v>segment</x:v>
      </x:c>
      <x:c r="G1" s="12" t="str">
        <x:v>region</x:v>
      </x:c>
      <x:c r="H1" s="12" t="str">
        <x:v>impressions</x:v>
      </x:c>
      <x:c r="I1" s="12" t="str">
        <x:v>clicks</x:v>
      </x:c>
      <x:c r="J1" s="12" t="str">
        <x:v>leads</x:v>
      </x:c>
      <x:c r="K1" s="12" t="str">
        <x:v>customers</x:v>
      </x:c>
      <x:c r="L1" s="12" t="str">
        <x:v>spend</x:v>
      </x:c>
      <x:c r="M1" s="12" t="str">
        <x:v>revenue</x:v>
      </x:c>
    </x:row>
    <x:row r="2">
      <x:c r="A2" s="13" t="n">
        <x:v>45658</x:v>
      </x:c>
      <x:c r="B2" s="14" t="str">
        <x:v>CMP001</x:v>
      </x:c>
      <x:c r="C2" s="14" t="str">
        <x:v>PaidSearch_LeadGen_01</x:v>
      </x:c>
      <x:c r="D2" s="14" t="str">
        <x:v>Paid Search</x:v>
      </x:c>
      <x:c r="E2" s="14" t="str">
        <x:v>Lead Gen</x:v>
      </x:c>
      <x:c r="F2" s="14" t="str">
        <x:v>B2B</x:v>
      </x:c>
      <x:c r="G2" s="14" t="str">
        <x:v>North</x:v>
      </x:c>
      <x:c r="H2" s="14" t="n">
        <x:v>493980</x:v>
      </x:c>
      <x:c r="I2" s="14" t="n">
        <x:v>10423</x:v>
      </x:c>
      <x:c r="J2" s="14" t="n">
        <x:v>806</x:v>
      </x:c>
      <x:c r="K2" s="14" t="n">
        <x:v>134</x:v>
      </x:c>
      <x:c r="L2" s="15" t="n">
        <x:v>36109.48</x:v>
      </x:c>
      <x:c r="M2" s="15" t="n">
        <x:v>144392.43</x:v>
      </x:c>
    </x:row>
    <x:row r="3">
      <x:c r="A3" s="13" t="n">
        <x:v>45689</x:v>
      </x:c>
      <x:c r="B3" s="14" t="str">
        <x:v>CMP001</x:v>
      </x:c>
      <x:c r="C3" s="14" t="str">
        <x:v>PaidSearch_LeadGen_01</x:v>
      </x:c>
      <x:c r="D3" s="14" t="str">
        <x:v>Paid Search</x:v>
      </x:c>
      <x:c r="E3" s="14" t="str">
        <x:v>Lead Gen</x:v>
      </x:c>
      <x:c r="F3" s="14" t="str">
        <x:v>B2B</x:v>
      </x:c>
      <x:c r="G3" s="14" t="str">
        <x:v>North</x:v>
      </x:c>
      <x:c r="H3" s="14" t="n">
        <x:v>477967</x:v>
      </x:c>
      <x:c r="I3" s="14" t="n">
        <x:v>10637</x:v>
      </x:c>
      <x:c r="J3" s="14" t="n">
        <x:v>785</x:v>
      </x:c>
      <x:c r="K3" s="14" t="n">
        <x:v>131</x:v>
      </x:c>
      <x:c r="L3" s="15" t="n">
        <x:v>34518.15</x:v>
      </x:c>
      <x:c r="M3" s="15" t="n">
        <x:v>144640.64</x:v>
      </x:c>
    </x:row>
    <x:row r="4">
      <x:c r="A4" s="13" t="n">
        <x:v>45717</x:v>
      </x:c>
      <x:c r="B4" s="14" t="str">
        <x:v>CMP001</x:v>
      </x:c>
      <x:c r="C4" s="14" t="str">
        <x:v>PaidSearch_LeadGen_01</x:v>
      </x:c>
      <x:c r="D4" s="14" t="str">
        <x:v>Paid Search</x:v>
      </x:c>
      <x:c r="E4" s="14" t="str">
        <x:v>Lead Gen</x:v>
      </x:c>
      <x:c r="F4" s="14" t="str">
        <x:v>B2B</x:v>
      </x:c>
      <x:c r="G4" s="14" t="str">
        <x:v>North</x:v>
      </x:c>
      <x:c r="H4" s="14" t="n">
        <x:v>579688</x:v>
      </x:c>
      <x:c r="I4" s="14" t="n">
        <x:v>14014</x:v>
      </x:c>
      <x:c r="J4" s="14" t="n">
        <x:v>918</x:v>
      </x:c>
      <x:c r="K4" s="14" t="n">
        <x:v>172</x:v>
      </x:c>
      <x:c r="L4" s="15" t="n">
        <x:v>45491.74</x:v>
      </x:c>
      <x:c r="M4" s="15" t="n">
        <x:v>191467.71</x:v>
      </x:c>
    </x:row>
    <x:row r="5">
      <x:c r="A5" s="13" t="n">
        <x:v>45748</x:v>
      </x:c>
      <x:c r="B5" s="14" t="str">
        <x:v>CMP001</x:v>
      </x:c>
      <x:c r="C5" s="14" t="str">
        <x:v>PaidSearch_LeadGen_01</x:v>
      </x:c>
      <x:c r="D5" s="14" t="str">
        <x:v>Paid Search</x:v>
      </x:c>
      <x:c r="E5" s="14" t="str">
        <x:v>Lead Gen</x:v>
      </x:c>
      <x:c r="F5" s="14" t="str">
        <x:v>B2B</x:v>
      </x:c>
      <x:c r="G5" s="14" t="str">
        <x:v>North</x:v>
      </x:c>
      <x:c r="H5" s="14" t="n">
        <x:v>504320</x:v>
      </x:c>
      <x:c r="I5" s="14" t="n">
        <x:v>11426</x:v>
      </x:c>
      <x:c r="J5" s="14" t="n">
        <x:v>730</x:v>
      </x:c>
      <x:c r="K5" s="14" t="n">
        <x:v>131</x:v>
      </x:c>
      <x:c r="L5" s="15" t="n">
        <x:v>39607.12</x:v>
      </x:c>
      <x:c r="M5" s="15" t="n">
        <x:v>127619.66</x:v>
      </x:c>
    </x:row>
    <x:row r="6">
      <x:c r="A6" s="13" t="n">
        <x:v>45778</x:v>
      </x:c>
      <x:c r="B6" s="14" t="str">
        <x:v>CMP001</x:v>
      </x:c>
      <x:c r="C6" s="14" t="str">
        <x:v>PaidSearch_LeadGen_01</x:v>
      </x:c>
      <x:c r="D6" s="14" t="str">
        <x:v>Paid Search</x:v>
      </x:c>
      <x:c r="E6" s="14" t="str">
        <x:v>Lead Gen</x:v>
      </x:c>
      <x:c r="F6" s="14" t="str">
        <x:v>B2B</x:v>
      </x:c>
      <x:c r="G6" s="14" t="str">
        <x:v>North</x:v>
      </x:c>
      <x:c r="H6" s="14" t="n">
        <x:v>542184</x:v>
      </x:c>
      <x:c r="I6" s="14" t="n">
        <x:v>12601</x:v>
      </x:c>
      <x:c r="J6" s="14" t="n">
        <x:v>821</x:v>
      </x:c>
      <x:c r="K6" s="14" t="n">
        <x:v>109</x:v>
      </x:c>
      <x:c r="L6" s="15" t="n">
        <x:v>41918.14</x:v>
      </x:c>
      <x:c r="M6" s="15" t="n">
        <x:v>114429.41</x:v>
      </x:c>
    </x:row>
    <x:row r="7">
      <x:c r="A7" s="13" t="n">
        <x:v>45809</x:v>
      </x:c>
      <x:c r="B7" s="14" t="str">
        <x:v>CMP001</x:v>
      </x:c>
      <x:c r="C7" s="14" t="str">
        <x:v>PaidSearch_LeadGen_01</x:v>
      </x:c>
      <x:c r="D7" s="14" t="str">
        <x:v>Paid Search</x:v>
      </x:c>
      <x:c r="E7" s="14" t="str">
        <x:v>Lead Gen</x:v>
      </x:c>
      <x:c r="F7" s="14" t="str">
        <x:v>B2B</x:v>
      </x:c>
      <x:c r="G7" s="14" t="str">
        <x:v>North</x:v>
      </x:c>
      <x:c r="H7" s="14" t="n">
        <x:v>452319</x:v>
      </x:c>
      <x:c r="I7" s="14" t="n">
        <x:v>9449</x:v>
      </x:c>
      <x:c r="J7" s="14" t="n">
        <x:v>622</x:v>
      </x:c>
      <x:c r="K7" s="14" t="n">
        <x:v>106</x:v>
      </x:c>
      <x:c r="L7" s="15" t="n">
        <x:v>39863.83</x:v>
      </x:c>
      <x:c r="M7" s="15" t="n">
        <x:v>120839.2</x:v>
      </x:c>
    </x:row>
    <x:row r="8">
      <x:c r="A8" s="13" t="n">
        <x:v>45839</x:v>
      </x:c>
      <x:c r="B8" s="14" t="str">
        <x:v>CMP001</x:v>
      </x:c>
      <x:c r="C8" s="14" t="str">
        <x:v>PaidSearch_LeadGen_01</x:v>
      </x:c>
      <x:c r="D8" s="14" t="str">
        <x:v>Paid Search</x:v>
      </x:c>
      <x:c r="E8" s="14" t="str">
        <x:v>Lead Gen</x:v>
      </x:c>
      <x:c r="F8" s="14" t="str">
        <x:v>B2B</x:v>
      </x:c>
      <x:c r="G8" s="14" t="str">
        <x:v>North</x:v>
      </x:c>
      <x:c r="H8" s="14" t="n">
        <x:v>551138</x:v>
      </x:c>
      <x:c r="I8" s="14" t="n">
        <x:v>11469</x:v>
      </x:c>
      <x:c r="J8" s="14" t="n">
        <x:v>864</x:v>
      </x:c>
      <x:c r="K8" s="14" t="n">
        <x:v>156</x:v>
      </x:c>
      <x:c r="L8" s="15" t="n">
        <x:v>40846.05</x:v>
      </x:c>
      <x:c r="M8" s="15" t="n">
        <x:v>181133.42</x:v>
      </x:c>
    </x:row>
    <x:row r="9">
      <x:c r="A9" s="13" t="n">
        <x:v>45870</x:v>
      </x:c>
      <x:c r="B9" s="14" t="str">
        <x:v>CMP001</x:v>
      </x:c>
      <x:c r="C9" s="14" t="str">
        <x:v>PaidSearch_LeadGen_01</x:v>
      </x:c>
      <x:c r="D9" s="14" t="str">
        <x:v>Paid Search</x:v>
      </x:c>
      <x:c r="E9" s="14" t="str">
        <x:v>Lead Gen</x:v>
      </x:c>
      <x:c r="F9" s="14" t="str">
        <x:v>B2B</x:v>
      </x:c>
      <x:c r="G9" s="14" t="str">
        <x:v>North</x:v>
      </x:c>
      <x:c r="H9" s="14" t="n">
        <x:v>524853</x:v>
      </x:c>
      <x:c r="I9" s="14" t="n">
        <x:v>12367</x:v>
      </x:c>
      <x:c r="J9" s="14" t="n">
        <x:v>865</x:v>
      </x:c>
      <x:c r="K9" s="14" t="n">
        <x:v>160</x:v>
      </x:c>
      <x:c r="L9" s="15" t="n">
        <x:v>45693.88</x:v>
      </x:c>
      <x:c r="M9" s="15" t="n">
        <x:v>157918.5</x:v>
      </x:c>
    </x:row>
    <x:row r="10">
      <x:c r="A10" s="13" t="n">
        <x:v>45901</x:v>
      </x:c>
      <x:c r="B10" s="14" t="str">
        <x:v>CMP001</x:v>
      </x:c>
      <x:c r="C10" s="14" t="str">
        <x:v>PaidSearch_LeadGen_01</x:v>
      </x:c>
      <x:c r="D10" s="14" t="str">
        <x:v>Paid Search</x:v>
      </x:c>
      <x:c r="E10" s="14" t="str">
        <x:v>Lead Gen</x:v>
      </x:c>
      <x:c r="F10" s="14" t="str">
        <x:v>B2B</x:v>
      </x:c>
      <x:c r="G10" s="14" t="str">
        <x:v>North</x:v>
      </x:c>
      <x:c r="H10" s="14" t="n">
        <x:v>504043</x:v>
      </x:c>
      <x:c r="I10" s="14" t="n">
        <x:v>13314</x:v>
      </x:c>
      <x:c r="J10" s="14" t="n">
        <x:v>1010</x:v>
      </x:c>
      <x:c r="K10" s="14" t="n">
        <x:v>136</x:v>
      </x:c>
      <x:c r="L10" s="15" t="n">
        <x:v>41981.78</x:v>
      </x:c>
      <x:c r="M10" s="15" t="n">
        <x:v>147828.22</x:v>
      </x:c>
    </x:row>
    <x:row r="11">
      <x:c r="A11" s="13" t="n">
        <x:v>45931</x:v>
      </x:c>
      <x:c r="B11" s="14" t="str">
        <x:v>CMP001</x:v>
      </x:c>
      <x:c r="C11" s="14" t="str">
        <x:v>PaidSearch_LeadGen_01</x:v>
      </x:c>
      <x:c r="D11" s="14" t="str">
        <x:v>Paid Search</x:v>
      </x:c>
      <x:c r="E11" s="14" t="str">
        <x:v>Lead Gen</x:v>
      </x:c>
      <x:c r="F11" s="14" t="str">
        <x:v>B2B</x:v>
      </x:c>
      <x:c r="G11" s="14" t="str">
        <x:v>North</x:v>
      </x:c>
      <x:c r="H11" s="14" t="n">
        <x:v>615403</x:v>
      </x:c>
      <x:c r="I11" s="14" t="n">
        <x:v>14948</x:v>
      </x:c>
      <x:c r="J11" s="14" t="n">
        <x:v>976</x:v>
      </x:c>
      <x:c r="K11" s="14" t="n">
        <x:v>186</x:v>
      </x:c>
      <x:c r="L11" s="15" t="n">
        <x:v>46229.64</x:v>
      </x:c>
      <x:c r="M11" s="15" t="n">
        <x:v>204270.8</x:v>
      </x:c>
    </x:row>
    <x:row r="12">
      <x:c r="A12" s="13" t="n">
        <x:v>45962</x:v>
      </x:c>
      <x:c r="B12" s="14" t="str">
        <x:v>CMP001</x:v>
      </x:c>
      <x:c r="C12" s="14" t="str">
        <x:v>PaidSearch_LeadGen_01</x:v>
      </x:c>
      <x:c r="D12" s="14" t="str">
        <x:v>Paid Search</x:v>
      </x:c>
      <x:c r="E12" s="14" t="str">
        <x:v>Lead Gen</x:v>
      </x:c>
      <x:c r="F12" s="14" t="str">
        <x:v>B2B</x:v>
      </x:c>
      <x:c r="G12" s="14" t="str">
        <x:v>North</x:v>
      </x:c>
      <x:c r="H12" s="14" t="n">
        <x:v>583705</x:v>
      </x:c>
      <x:c r="I12" s="14" t="n">
        <x:v>15762</x:v>
      </x:c>
      <x:c r="J12" s="14" t="n">
        <x:v>942</x:v>
      </x:c>
      <x:c r="K12" s="14" t="n">
        <x:v>173</x:v>
      </x:c>
      <x:c r="L12" s="15" t="n">
        <x:v>44739.31</x:v>
      </x:c>
      <x:c r="M12" s="15" t="n">
        <x:v>194274.17</x:v>
      </x:c>
    </x:row>
    <x:row r="13">
      <x:c r="A13" s="13" t="n">
        <x:v>45992</x:v>
      </x:c>
      <x:c r="B13" s="14" t="str">
        <x:v>CMP001</x:v>
      </x:c>
      <x:c r="C13" s="14" t="str">
        <x:v>PaidSearch_LeadGen_01</x:v>
      </x:c>
      <x:c r="D13" s="14" t="str">
        <x:v>Paid Search</x:v>
      </x:c>
      <x:c r="E13" s="14" t="str">
        <x:v>Lead Gen</x:v>
      </x:c>
      <x:c r="F13" s="14" t="str">
        <x:v>B2B</x:v>
      </x:c>
      <x:c r="G13" s="14" t="str">
        <x:v>North</x:v>
      </x:c>
      <x:c r="H13" s="14" t="n">
        <x:v>692757</x:v>
      </x:c>
      <x:c r="I13" s="14" t="n">
        <x:v>19596</x:v>
      </x:c>
      <x:c r="J13" s="14" t="n">
        <x:v>1429</x:v>
      </x:c>
      <x:c r="K13" s="14" t="n">
        <x:v>253</x:v>
      </x:c>
      <x:c r="L13" s="15" t="n">
        <x:v>49664</x:v>
      </x:c>
      <x:c r="M13" s="15" t="n">
        <x:v>252384.9</x:v>
      </x:c>
    </x:row>
    <x:row r="14">
      <x:c r="A14" s="13" t="n">
        <x:v>45658</x:v>
      </x:c>
      <x:c r="B14" s="14" t="str">
        <x:v>CMP002</x:v>
      </x:c>
      <x:c r="C14" s="14" t="str">
        <x:v>PaidSearch_Retargeting_02</x:v>
      </x:c>
      <x:c r="D14" s="14" t="str">
        <x:v>Paid Search</x:v>
      </x:c>
      <x:c r="E14" s="14" t="str">
        <x:v>Retargeting</x:v>
      </x:c>
      <x:c r="F14" s="14" t="str">
        <x:v>Consumer</x:v>
      </x:c>
      <x:c r="G14" s="14" t="str">
        <x:v>East</x:v>
      </x:c>
      <x:c r="H14" s="14" t="n">
        <x:v>191126</x:v>
      </x:c>
      <x:c r="I14" s="14" t="n">
        <x:v>4506</x:v>
      </x:c>
      <x:c r="J14" s="14" t="n">
        <x:v>336</x:v>
      </x:c>
      <x:c r="K14" s="14" t="n">
        <x:v>50</x:v>
      </x:c>
      <x:c r="L14" s="15" t="n">
        <x:v>23733.8</x:v>
      </x:c>
      <x:c r="M14" s="15" t="n">
        <x:v>55796.86</x:v>
      </x:c>
    </x:row>
    <x:row r="15">
      <x:c r="A15" s="13" t="n">
        <x:v>45689</x:v>
      </x:c>
      <x:c r="B15" s="14" t="str">
        <x:v>CMP002</x:v>
      </x:c>
      <x:c r="C15" s="14" t="str">
        <x:v>PaidSearch_Retargeting_02</x:v>
      </x:c>
      <x:c r="D15" s="14" t="str">
        <x:v>Paid Search</x:v>
      </x:c>
      <x:c r="E15" s="14" t="str">
        <x:v>Retargeting</x:v>
      </x:c>
      <x:c r="F15" s="14" t="str">
        <x:v>Consumer</x:v>
      </x:c>
      <x:c r="G15" s="14" t="str">
        <x:v>East</x:v>
      </x:c>
      <x:c r="H15" s="14" t="n">
        <x:v>201696</x:v>
      </x:c>
      <x:c r="I15" s="14" t="n">
        <x:v>4079</x:v>
      </x:c>
      <x:c r="J15" s="14" t="n">
        <x:v>278</x:v>
      </x:c>
      <x:c r="K15" s="14" t="n">
        <x:v>47</x:v>
      </x:c>
      <x:c r="L15" s="15" t="n">
        <x:v>26478.95</x:v>
      </x:c>
      <x:c r="M15" s="15" t="n">
        <x:v>55312.86</x:v>
      </x:c>
    </x:row>
    <x:row r="16">
      <x:c r="A16" s="13" t="n">
        <x:v>45717</x:v>
      </x:c>
      <x:c r="B16" s="14" t="str">
        <x:v>CMP002</x:v>
      </x:c>
      <x:c r="C16" s="14" t="str">
        <x:v>PaidSearch_Retargeting_02</x:v>
      </x:c>
      <x:c r="D16" s="14" t="str">
        <x:v>Paid Search</x:v>
      </x:c>
      <x:c r="E16" s="14" t="str">
        <x:v>Retargeting</x:v>
      </x:c>
      <x:c r="F16" s="14" t="str">
        <x:v>Consumer</x:v>
      </x:c>
      <x:c r="G16" s="14" t="str">
        <x:v>East</x:v>
      </x:c>
      <x:c r="H16" s="14" t="n">
        <x:v>240650</x:v>
      </x:c>
      <x:c r="I16" s="14" t="n">
        <x:v>5959</x:v>
      </x:c>
      <x:c r="J16" s="14" t="n">
        <x:v>422</x:v>
      </x:c>
      <x:c r="K16" s="14" t="n">
        <x:v>62</x:v>
      </x:c>
      <x:c r="L16" s="15" t="n">
        <x:v>25920.88</x:v>
      </x:c>
      <x:c r="M16" s="15" t="n">
        <x:v>69356.26</x:v>
      </x:c>
    </x:row>
    <x:row r="17">
      <x:c r="A17" s="13" t="n">
        <x:v>45748</x:v>
      </x:c>
      <x:c r="B17" s="14" t="str">
        <x:v>CMP002</x:v>
      </x:c>
      <x:c r="C17" s="14" t="str">
        <x:v>PaidSearch_Retargeting_02</x:v>
      </x:c>
      <x:c r="D17" s="14" t="str">
        <x:v>Paid Search</x:v>
      </x:c>
      <x:c r="E17" s="14" t="str">
        <x:v>Retargeting</x:v>
      </x:c>
      <x:c r="F17" s="14" t="str">
        <x:v>Consumer</x:v>
      </x:c>
      <x:c r="G17" s="14" t="str">
        <x:v>East</x:v>
      </x:c>
      <x:c r="H17" s="14" t="n">
        <x:v>272172</x:v>
      </x:c>
      <x:c r="I17" s="14" t="n">
        <x:v>6450</x:v>
      </x:c>
      <x:c r="J17" s="14" t="n">
        <x:v>512</x:v>
      </x:c>
      <x:c r="K17" s="14" t="n">
        <x:v>85</x:v>
      </x:c>
      <x:c r="L17" s="15" t="n">
        <x:v>30016.68</x:v>
      </x:c>
      <x:c r="M17" s="15" t="n">
        <x:v>86103.84</x:v>
      </x:c>
    </x:row>
    <x:row r="18">
      <x:c r="A18" s="13" t="n">
        <x:v>45778</x:v>
      </x:c>
      <x:c r="B18" s="14" t="str">
        <x:v>CMP002</x:v>
      </x:c>
      <x:c r="C18" s="14" t="str">
        <x:v>PaidSearch_Retargeting_02</x:v>
      </x:c>
      <x:c r="D18" s="14" t="str">
        <x:v>Paid Search</x:v>
      </x:c>
      <x:c r="E18" s="14" t="str">
        <x:v>Retargeting</x:v>
      </x:c>
      <x:c r="F18" s="14" t="str">
        <x:v>Consumer</x:v>
      </x:c>
      <x:c r="G18" s="14" t="str">
        <x:v>East</x:v>
      </x:c>
      <x:c r="H18" s="14" t="n">
        <x:v>268656</x:v>
      </x:c>
      <x:c r="I18" s="14" t="n">
        <x:v>6851</x:v>
      </x:c>
      <x:c r="J18" s="14" t="n">
        <x:v>442</x:v>
      </x:c>
      <x:c r="K18" s="14" t="n">
        <x:v>63</x:v>
      </x:c>
      <x:c r="L18" s="15" t="n">
        <x:v>33405.92</x:v>
      </x:c>
      <x:c r="M18" s="15" t="n">
        <x:v>64421.2</x:v>
      </x:c>
    </x:row>
    <x:row r="19">
      <x:c r="A19" s="13" t="n">
        <x:v>45809</x:v>
      </x:c>
      <x:c r="B19" s="14" t="str">
        <x:v>CMP002</x:v>
      </x:c>
      <x:c r="C19" s="14" t="str">
        <x:v>PaidSearch_Retargeting_02</x:v>
      </x:c>
      <x:c r="D19" s="14" t="str">
        <x:v>Paid Search</x:v>
      </x:c>
      <x:c r="E19" s="14" t="str">
        <x:v>Retargeting</x:v>
      </x:c>
      <x:c r="F19" s="14" t="str">
        <x:v>Consumer</x:v>
      </x:c>
      <x:c r="G19" s="14" t="str">
        <x:v>East</x:v>
      </x:c>
      <x:c r="H19" s="14" t="n">
        <x:v>210439</x:v>
      </x:c>
      <x:c r="I19" s="14" t="n">
        <x:v>5280</x:v>
      </x:c>
      <x:c r="J19" s="14" t="n">
        <x:v>423</x:v>
      </x:c>
      <x:c r="K19" s="14" t="n">
        <x:v>72</x:v>
      </x:c>
      <x:c r="L19" s="15" t="n">
        <x:v>25996.46</x:v>
      </x:c>
      <x:c r="M19" s="15" t="n">
        <x:v>79148.61</x:v>
      </x:c>
    </x:row>
    <x:row r="20">
      <x:c r="A20" s="13" t="n">
        <x:v>45839</x:v>
      </x:c>
      <x:c r="B20" s="14" t="str">
        <x:v>CMP002</x:v>
      </x:c>
      <x:c r="C20" s="14" t="str">
        <x:v>PaidSearch_Retargeting_02</x:v>
      </x:c>
      <x:c r="D20" s="14" t="str">
        <x:v>Paid Search</x:v>
      </x:c>
      <x:c r="E20" s="14" t="str">
        <x:v>Retargeting</x:v>
      </x:c>
      <x:c r="F20" s="14" t="str">
        <x:v>Consumer</x:v>
      </x:c>
      <x:c r="G20" s="14" t="str">
        <x:v>East</x:v>
      </x:c>
      <x:c r="H20" s="14" t="n">
        <x:v>210973</x:v>
      </x:c>
      <x:c r="I20" s="14" t="n">
        <x:v>5509</x:v>
      </x:c>
      <x:c r="J20" s="14" t="n">
        <x:v>378</x:v>
      </x:c>
      <x:c r="K20" s="14" t="n">
        <x:v>51</x:v>
      </x:c>
      <x:c r="L20" s="15" t="n">
        <x:v>25487.63</x:v>
      </x:c>
      <x:c r="M20" s="15" t="n">
        <x:v>54566</x:v>
      </x:c>
    </x:row>
    <x:row r="21">
      <x:c r="A21" s="13" t="n">
        <x:v>45870</x:v>
      </x:c>
      <x:c r="B21" s="14" t="str">
        <x:v>CMP002</x:v>
      </x:c>
      <x:c r="C21" s="14" t="str">
        <x:v>PaidSearch_Retargeting_02</x:v>
      </x:c>
      <x:c r="D21" s="14" t="str">
        <x:v>Paid Search</x:v>
      </x:c>
      <x:c r="E21" s="14" t="str">
        <x:v>Retargeting</x:v>
      </x:c>
      <x:c r="F21" s="14" t="str">
        <x:v>Consumer</x:v>
      </x:c>
      <x:c r="G21" s="14" t="str">
        <x:v>East</x:v>
      </x:c>
      <x:c r="H21" s="14" t="n">
        <x:v>191945</x:v>
      </x:c>
      <x:c r="I21" s="14" t="n">
        <x:v>5142</x:v>
      </x:c>
      <x:c r="J21" s="14" t="n">
        <x:v>405</x:v>
      </x:c>
      <x:c r="K21" s="14" t="n">
        <x:v>65</x:v>
      </x:c>
      <x:c r="L21" s="15" t="n">
        <x:v>24962.05</x:v>
      </x:c>
      <x:c r="M21" s="15" t="n">
        <x:v>71181.42</x:v>
      </x:c>
    </x:row>
    <x:row r="22">
      <x:c r="A22" s="13" t="n">
        <x:v>45901</x:v>
      </x:c>
      <x:c r="B22" s="14" t="str">
        <x:v>CMP002</x:v>
      </x:c>
      <x:c r="C22" s="14" t="str">
        <x:v>PaidSearch_Retargeting_02</x:v>
      </x:c>
      <x:c r="D22" s="14" t="str">
        <x:v>Paid Search</x:v>
      </x:c>
      <x:c r="E22" s="14" t="str">
        <x:v>Retargeting</x:v>
      </x:c>
      <x:c r="F22" s="14" t="str">
        <x:v>Consumer</x:v>
      </x:c>
      <x:c r="G22" s="14" t="str">
        <x:v>East</x:v>
      </x:c>
      <x:c r="H22" s="14" t="n">
        <x:v>231911</x:v>
      </x:c>
      <x:c r="I22" s="14" t="n">
        <x:v>6334</x:v>
      </x:c>
      <x:c r="J22" s="14" t="n">
        <x:v>482</x:v>
      </x:c>
      <x:c r="K22" s="14" t="n">
        <x:v>67</x:v>
      </x:c>
      <x:c r="L22" s="15" t="n">
        <x:v>26304.7</x:v>
      </x:c>
      <x:c r="M22" s="15" t="n">
        <x:v>69727.98</x:v>
      </x:c>
    </x:row>
    <x:row r="23">
      <x:c r="A23" s="13" t="n">
        <x:v>45931</x:v>
      </x:c>
      <x:c r="B23" s="14" t="str">
        <x:v>CMP002</x:v>
      </x:c>
      <x:c r="C23" s="14" t="str">
        <x:v>PaidSearch_Retargeting_02</x:v>
      </x:c>
      <x:c r="D23" s="14" t="str">
        <x:v>Paid Search</x:v>
      </x:c>
      <x:c r="E23" s="14" t="str">
        <x:v>Retargeting</x:v>
      </x:c>
      <x:c r="F23" s="14" t="str">
        <x:v>Consumer</x:v>
      </x:c>
      <x:c r="G23" s="14" t="str">
        <x:v>East</x:v>
      </x:c>
      <x:c r="H23" s="14" t="n">
        <x:v>302337</x:v>
      </x:c>
      <x:c r="I23" s="14" t="n">
        <x:v>7617</x:v>
      </x:c>
      <x:c r="J23" s="14" t="n">
        <x:v>581</x:v>
      </x:c>
      <x:c r="K23" s="14" t="n">
        <x:v>107</x:v>
      </x:c>
      <x:c r="L23" s="15" t="n">
        <x:v>31874.08</x:v>
      </x:c>
      <x:c r="M23" s="15" t="n">
        <x:v>118211.42</x:v>
      </x:c>
    </x:row>
    <x:row r="24">
      <x:c r="A24" s="13" t="n">
        <x:v>45962</x:v>
      </x:c>
      <x:c r="B24" s="14" t="str">
        <x:v>CMP002</x:v>
      </x:c>
      <x:c r="C24" s="14" t="str">
        <x:v>PaidSearch_Retargeting_02</x:v>
      </x:c>
      <x:c r="D24" s="14" t="str">
        <x:v>Paid Search</x:v>
      </x:c>
      <x:c r="E24" s="14" t="str">
        <x:v>Retargeting</x:v>
      </x:c>
      <x:c r="F24" s="14" t="str">
        <x:v>Consumer</x:v>
      </x:c>
      <x:c r="G24" s="14" t="str">
        <x:v>East</x:v>
      </x:c>
      <x:c r="H24" s="14" t="n">
        <x:v>242392</x:v>
      </x:c>
      <x:c r="I24" s="14" t="n">
        <x:v>6543</x:v>
      </x:c>
      <x:c r="J24" s="14" t="n">
        <x:v>394</x:v>
      </x:c>
      <x:c r="K24" s="14" t="n">
        <x:v>62</x:v>
      </x:c>
      <x:c r="L24" s="15" t="n">
        <x:v>29518.41</x:v>
      </x:c>
      <x:c r="M24" s="15" t="n">
        <x:v>69501.97</x:v>
      </x:c>
    </x:row>
    <x:row r="25">
      <x:c r="A25" s="13" t="n">
        <x:v>45992</x:v>
      </x:c>
      <x:c r="B25" s="14" t="str">
        <x:v>CMP002</x:v>
      </x:c>
      <x:c r="C25" s="14" t="str">
        <x:v>PaidSearch_Retargeting_02</x:v>
      </x:c>
      <x:c r="D25" s="14" t="str">
        <x:v>Paid Search</x:v>
      </x:c>
      <x:c r="E25" s="14" t="str">
        <x:v>Retargeting</x:v>
      </x:c>
      <x:c r="F25" s="14" t="str">
        <x:v>Consumer</x:v>
      </x:c>
      <x:c r="G25" s="14" t="str">
        <x:v>East</x:v>
      </x:c>
      <x:c r="H25" s="14" t="n">
        <x:v>310710</x:v>
      </x:c>
      <x:c r="I25" s="14" t="n">
        <x:v>7888</x:v>
      </x:c>
      <x:c r="J25" s="14" t="n">
        <x:v>577</x:v>
      </x:c>
      <x:c r="K25" s="14" t="n">
        <x:v>97</x:v>
      </x:c>
      <x:c r="L25" s="15" t="n">
        <x:v>40192.13</x:v>
      </x:c>
      <x:c r="M25" s="15" t="n">
        <x:v>104316.4</x:v>
      </x:c>
    </x:row>
    <x:row r="26">
      <x:c r="A26" s="13" t="n">
        <x:v>45658</x:v>
      </x:c>
      <x:c r="B26" s="14" t="str">
        <x:v>CMP003</x:v>
      </x:c>
      <x:c r="C26" s="14" t="str">
        <x:v>PaidSearch_LeadGen_03</x:v>
      </x:c>
      <x:c r="D26" s="14" t="str">
        <x:v>Paid Search</x:v>
      </x:c>
      <x:c r="E26" s="14" t="str">
        <x:v>Lead Gen</x:v>
      </x:c>
      <x:c r="F26" s="14" t="str">
        <x:v>Mid-Market</x:v>
      </x:c>
      <x:c r="G26" s="14" t="str">
        <x:v>East</x:v>
      </x:c>
      <x:c r="H26" s="14" t="n">
        <x:v>604879</x:v>
      </x:c>
      <x:c r="I26" s="14" t="n">
        <x:v>12710</x:v>
      </x:c>
      <x:c r="J26" s="14" t="n">
        <x:v>755</x:v>
      </x:c>
      <x:c r="K26" s="14" t="n">
        <x:v>127</x:v>
      </x:c>
      <x:c r="L26" s="15" t="n">
        <x:v>41955.78</x:v>
      </x:c>
      <x:c r="M26" s="15" t="n">
        <x:v>126661.45</x:v>
      </x:c>
    </x:row>
    <x:row r="27">
      <x:c r="A27" s="13" t="n">
        <x:v>45689</x:v>
      </x:c>
      <x:c r="B27" s="14" t="str">
        <x:v>CMP003</x:v>
      </x:c>
      <x:c r="C27" s="14" t="str">
        <x:v>PaidSearch_LeadGen_03</x:v>
      </x:c>
      <x:c r="D27" s="14" t="str">
        <x:v>Paid Search</x:v>
      </x:c>
      <x:c r="E27" s="14" t="str">
        <x:v>Lead Gen</x:v>
      </x:c>
      <x:c r="F27" s="14" t="str">
        <x:v>Mid-Market</x:v>
      </x:c>
      <x:c r="G27" s="14" t="str">
        <x:v>East</x:v>
      </x:c>
      <x:c r="H27" s="14" t="n">
        <x:v>478214</x:v>
      </x:c>
      <x:c r="I27" s="14" t="n">
        <x:v>10026</x:v>
      </x:c>
      <x:c r="J27" s="14" t="n">
        <x:v>607</x:v>
      </x:c>
      <x:c r="K27" s="14" t="n">
        <x:v>81</x:v>
      </x:c>
      <x:c r="L27" s="15" t="n">
        <x:v>37067.21</x:v>
      </x:c>
      <x:c r="M27" s="15" t="n">
        <x:v>76687.88</x:v>
      </x:c>
    </x:row>
    <x:row r="28">
      <x:c r="A28" s="13" t="n">
        <x:v>45717</x:v>
      </x:c>
      <x:c r="B28" s="14" t="str">
        <x:v>CMP003</x:v>
      </x:c>
      <x:c r="C28" s="14" t="str">
        <x:v>PaidSearch_LeadGen_03</x:v>
      </x:c>
      <x:c r="D28" s="14" t="str">
        <x:v>Paid Search</x:v>
      </x:c>
      <x:c r="E28" s="14" t="str">
        <x:v>Lead Gen</x:v>
      </x:c>
      <x:c r="F28" s="14" t="str">
        <x:v>Mid-Market</x:v>
      </x:c>
      <x:c r="G28" s="14" t="str">
        <x:v>East</x:v>
      </x:c>
      <x:c r="H28" s="14" t="n">
        <x:v>665672</x:v>
      </x:c>
      <x:c r="I28" s="14" t="n">
        <x:v>16504</x:v>
      </x:c>
      <x:c r="J28" s="14" t="n">
        <x:v>1201</x:v>
      </x:c>
      <x:c r="K28" s="14" t="n">
        <x:v>215</x:v>
      </x:c>
      <x:c r="L28" s="15" t="n">
        <x:v>46533.09</x:v>
      </x:c>
      <x:c r="M28" s="15" t="n">
        <x:v>226813.62</x:v>
      </x:c>
    </x:row>
    <x:row r="29">
      <x:c r="A29" s="13" t="n">
        <x:v>45748</x:v>
      </x:c>
      <x:c r="B29" s="14" t="str">
        <x:v>CMP003</x:v>
      </x:c>
      <x:c r="C29" s="14" t="str">
        <x:v>PaidSearch_LeadGen_03</x:v>
      </x:c>
      <x:c r="D29" s="14" t="str">
        <x:v>Paid Search</x:v>
      </x:c>
      <x:c r="E29" s="14" t="str">
        <x:v>Lead Gen</x:v>
      </x:c>
      <x:c r="F29" s="14" t="str">
        <x:v>Mid-Market</x:v>
      </x:c>
      <x:c r="G29" s="14" t="str">
        <x:v>East</x:v>
      </x:c>
      <x:c r="H29" s="14" t="n">
        <x:v>712391</x:v>
      </x:c>
      <x:c r="I29" s="14" t="n">
        <x:v>17583</x:v>
      </x:c>
      <x:c r="J29" s="14" t="n">
        <x:v>1220</x:v>
      </x:c>
      <x:c r="K29" s="14" t="n">
        <x:v>168</x:v>
      </x:c>
      <x:c r="L29" s="15" t="n">
        <x:v>49351.08</x:v>
      </x:c>
      <x:c r="M29" s="15" t="n">
        <x:v>169874.98</x:v>
      </x:c>
    </x:row>
    <x:row r="30">
      <x:c r="A30" s="13" t="n">
        <x:v>45778</x:v>
      </x:c>
      <x:c r="B30" s="14" t="str">
        <x:v>CMP003</x:v>
      </x:c>
      <x:c r="C30" s="14" t="str">
        <x:v>PaidSearch_LeadGen_03</x:v>
      </x:c>
      <x:c r="D30" s="14" t="str">
        <x:v>Paid Search</x:v>
      </x:c>
      <x:c r="E30" s="14" t="str">
        <x:v>Lead Gen</x:v>
      </x:c>
      <x:c r="F30" s="14" t="str">
        <x:v>Mid-Market</x:v>
      </x:c>
      <x:c r="G30" s="14" t="str">
        <x:v>East</x:v>
      </x:c>
      <x:c r="H30" s="14" t="n">
        <x:v>623450</x:v>
      </x:c>
      <x:c r="I30" s="14" t="n">
        <x:v>17574</x:v>
      </x:c>
      <x:c r="J30" s="14" t="n">
        <x:v>1059</x:v>
      </x:c>
      <x:c r="K30" s="14" t="n">
        <x:v>185</x:v>
      </x:c>
      <x:c r="L30" s="15" t="n">
        <x:v>45046.71</x:v>
      </x:c>
      <x:c r="M30" s="15" t="n">
        <x:v>186600.48</x:v>
      </x:c>
    </x:row>
    <x:row r="31">
      <x:c r="A31" s="13" t="n">
        <x:v>45809</x:v>
      </x:c>
      <x:c r="B31" s="14" t="str">
        <x:v>CMP003</x:v>
      </x:c>
      <x:c r="C31" s="14" t="str">
        <x:v>PaidSearch_LeadGen_03</x:v>
      </x:c>
      <x:c r="D31" s="14" t="str">
        <x:v>Paid Search</x:v>
      </x:c>
      <x:c r="E31" s="14" t="str">
        <x:v>Lead Gen</x:v>
      </x:c>
      <x:c r="F31" s="14" t="str">
        <x:v>Mid-Market</x:v>
      </x:c>
      <x:c r="G31" s="14" t="str">
        <x:v>East</x:v>
      </x:c>
      <x:c r="H31" s="14" t="n">
        <x:v>541892</x:v>
      </x:c>
      <x:c r="I31" s="14" t="n">
        <x:v>14968</x:v>
      </x:c>
      <x:c r="J31" s="14" t="n">
        <x:v>923</x:v>
      </x:c>
      <x:c r="K31" s="14" t="n">
        <x:v>133</x:v>
      </x:c>
      <x:c r="L31" s="15" t="n">
        <x:v>42198.62</x:v>
      </x:c>
      <x:c r="M31" s="15" t="n">
        <x:v>131285.9</x:v>
      </x:c>
    </x:row>
    <x:row r="32">
      <x:c r="A32" s="13" t="n">
        <x:v>45839</x:v>
      </x:c>
      <x:c r="B32" s="14" t="str">
        <x:v>CMP003</x:v>
      </x:c>
      <x:c r="C32" s="14" t="str">
        <x:v>PaidSearch_LeadGen_03</x:v>
      </x:c>
      <x:c r="D32" s="14" t="str">
        <x:v>Paid Search</x:v>
      </x:c>
      <x:c r="E32" s="14" t="str">
        <x:v>Lead Gen</x:v>
      </x:c>
      <x:c r="F32" s="14" t="str">
        <x:v>Mid-Market</x:v>
      </x:c>
      <x:c r="G32" s="14" t="str">
        <x:v>East</x:v>
      </x:c>
      <x:c r="H32" s="14" t="n">
        <x:v>600836</x:v>
      </x:c>
      <x:c r="I32" s="14" t="n">
        <x:v>14774</x:v>
      </x:c>
      <x:c r="J32" s="14" t="n">
        <x:v>1203</x:v>
      </x:c>
      <x:c r="K32" s="14" t="n">
        <x:v>164</x:v>
      </x:c>
      <x:c r="L32" s="15" t="n">
        <x:v>40989.51</x:v>
      </x:c>
      <x:c r="M32" s="15" t="n">
        <x:v>170621.07</x:v>
      </x:c>
    </x:row>
    <x:row r="33">
      <x:c r="A33" s="13" t="n">
        <x:v>45870</x:v>
      </x:c>
      <x:c r="B33" s="14" t="str">
        <x:v>CMP003</x:v>
      </x:c>
      <x:c r="C33" s="14" t="str">
        <x:v>PaidSearch_LeadGen_03</x:v>
      </x:c>
      <x:c r="D33" s="14" t="str">
        <x:v>Paid Search</x:v>
      </x:c>
      <x:c r="E33" s="14" t="str">
        <x:v>Lead Gen</x:v>
      </x:c>
      <x:c r="F33" s="14" t="str">
        <x:v>Mid-Market</x:v>
      </x:c>
      <x:c r="G33" s="14" t="str">
        <x:v>East</x:v>
      </x:c>
      <x:c r="H33" s="14" t="n">
        <x:v>742618</x:v>
      </x:c>
      <x:c r="I33" s="14" t="n">
        <x:v>19523</x:v>
      </x:c>
      <x:c r="J33" s="14" t="n">
        <x:v>1421</x:v>
      </x:c>
      <x:c r="K33" s="14" t="n">
        <x:v>188</x:v>
      </x:c>
      <x:c r="L33" s="15" t="n">
        <x:v>49535.9</x:v>
      </x:c>
      <x:c r="M33" s="15" t="n">
        <x:v>169252.55</x:v>
      </x:c>
    </x:row>
    <x:row r="34">
      <x:c r="A34" s="13" t="n">
        <x:v>45901</x:v>
      </x:c>
      <x:c r="B34" s="14" t="str">
        <x:v>CMP003</x:v>
      </x:c>
      <x:c r="C34" s="14" t="str">
        <x:v>PaidSearch_LeadGen_03</x:v>
      </x:c>
      <x:c r="D34" s="14" t="str">
        <x:v>Paid Search</x:v>
      </x:c>
      <x:c r="E34" s="14" t="str">
        <x:v>Lead Gen</x:v>
      </x:c>
      <x:c r="F34" s="14" t="str">
        <x:v>Mid-Market</x:v>
      </x:c>
      <x:c r="G34" s="14" t="str">
        <x:v>East</x:v>
      </x:c>
      <x:c r="H34" s="14" t="n">
        <x:v>745892</x:v>
      </x:c>
      <x:c r="I34" s="14" t="n">
        <x:v>17965</x:v>
      </x:c>
      <x:c r="J34" s="14" t="n">
        <x:v>1281</x:v>
      </x:c>
      <x:c r="K34" s="14" t="n">
        <x:v>242</x:v>
      </x:c>
      <x:c r="L34" s="15" t="n">
        <x:v>51584.42</x:v>
      </x:c>
      <x:c r="M34" s="15" t="n">
        <x:v>256248.67</x:v>
      </x:c>
    </x:row>
    <x:row r="35">
      <x:c r="A35" s="13" t="n">
        <x:v>45931</x:v>
      </x:c>
      <x:c r="B35" s="14" t="str">
        <x:v>CMP003</x:v>
      </x:c>
      <x:c r="C35" s="14" t="str">
        <x:v>PaidSearch_LeadGen_03</x:v>
      </x:c>
      <x:c r="D35" s="14" t="str">
        <x:v>Paid Search</x:v>
      </x:c>
      <x:c r="E35" s="14" t="str">
        <x:v>Lead Gen</x:v>
      </x:c>
      <x:c r="F35" s="14" t="str">
        <x:v>Mid-Market</x:v>
      </x:c>
      <x:c r="G35" s="14" t="str">
        <x:v>East</x:v>
      </x:c>
      <x:c r="H35" s="14" t="n">
        <x:v>680636</x:v>
      </x:c>
      <x:c r="I35" s="14" t="n">
        <x:v>16295</x:v>
      </x:c>
      <x:c r="J35" s="14" t="n">
        <x:v>1349</x:v>
      </x:c>
      <x:c r="K35" s="14" t="n">
        <x:v>247</x:v>
      </x:c>
      <x:c r="L35" s="15" t="n">
        <x:v>44246.66</x:v>
      </x:c>
      <x:c r="M35" s="15" t="n">
        <x:v>231663.49</x:v>
      </x:c>
    </x:row>
    <x:row r="36">
      <x:c r="A36" s="13" t="n">
        <x:v>45962</x:v>
      </x:c>
      <x:c r="B36" s="14" t="str">
        <x:v>CMP003</x:v>
      </x:c>
      <x:c r="C36" s="14" t="str">
        <x:v>PaidSearch_LeadGen_03</x:v>
      </x:c>
      <x:c r="D36" s="14" t="str">
        <x:v>Paid Search</x:v>
      </x:c>
      <x:c r="E36" s="14" t="str">
        <x:v>Lead Gen</x:v>
      </x:c>
      <x:c r="F36" s="14" t="str">
        <x:v>Mid-Market</x:v>
      </x:c>
      <x:c r="G36" s="14" t="str">
        <x:v>East</x:v>
      </x:c>
      <x:c r="H36" s="14" t="n">
        <x:v>726743</x:v>
      </x:c>
      <x:c r="I36" s="14" t="n">
        <x:v>19961</x:v>
      </x:c>
      <x:c r="J36" s="14" t="n">
        <x:v>1516</x:v>
      </x:c>
      <x:c r="K36" s="14" t="n">
        <x:v>248</x:v>
      </x:c>
      <x:c r="L36" s="15" t="n">
        <x:v>56623.02</x:v>
      </x:c>
      <x:c r="M36" s="15" t="n">
        <x:v>227966.56</x:v>
      </x:c>
    </x:row>
    <x:row r="37">
      <x:c r="A37" s="13" t="n">
        <x:v>45992</x:v>
      </x:c>
      <x:c r="B37" s="14" t="str">
        <x:v>CMP003</x:v>
      </x:c>
      <x:c r="C37" s="14" t="str">
        <x:v>PaidSearch_LeadGen_03</x:v>
      </x:c>
      <x:c r="D37" s="14" t="str">
        <x:v>Paid Search</x:v>
      </x:c>
      <x:c r="E37" s="14" t="str">
        <x:v>Lead Gen</x:v>
      </x:c>
      <x:c r="F37" s="14" t="str">
        <x:v>Mid-Market</x:v>
      </x:c>
      <x:c r="G37" s="14" t="str">
        <x:v>East</x:v>
      </x:c>
      <x:c r="H37" s="14" t="n">
        <x:v>766089</x:v>
      </x:c>
      <x:c r="I37" s="14" t="n">
        <x:v>20715</x:v>
      </x:c>
      <x:c r="J37" s="14" t="n">
        <x:v>1252</x:v>
      </x:c>
      <x:c r="K37" s="14" t="n">
        <x:v>191</x:v>
      </x:c>
      <x:c r="L37" s="15" t="n">
        <x:v>50566.32</x:v>
      </x:c>
      <x:c r="M37" s="15" t="n">
        <x:v>170339.13</x:v>
      </x:c>
    </x:row>
    <x:row r="38">
      <x:c r="A38" s="13" t="n">
        <x:v>45658</x:v>
      </x:c>
      <x:c r="B38" s="14" t="str">
        <x:v>CMP004</x:v>
      </x:c>
      <x:c r="C38" s="14" t="str">
        <x:v>PaidSearch_Retargeting_04</x:v>
      </x:c>
      <x:c r="D38" s="14" t="str">
        <x:v>Paid Search</x:v>
      </x:c>
      <x:c r="E38" s="14" t="str">
        <x:v>Retargeting</x:v>
      </x:c>
      <x:c r="F38" s="14" t="str">
        <x:v>SMB</x:v>
      </x:c>
      <x:c r="G38" s="14" t="str">
        <x:v>North</x:v>
      </x:c>
      <x:c r="H38" s="14" t="n">
        <x:v>573285</x:v>
      </x:c>
      <x:c r="I38" s="14" t="n">
        <x:v>14843</x:v>
      </x:c>
      <x:c r="J38" s="14" t="n">
        <x:v>1136</x:v>
      </x:c>
      <x:c r="K38" s="14" t="n">
        <x:v>168</x:v>
      </x:c>
      <x:c r="L38" s="15" t="n">
        <x:v>37995.89</x:v>
      </x:c>
      <x:c r="M38" s="15" t="n">
        <x:v>170378.46</x:v>
      </x:c>
    </x:row>
    <x:row r="39">
      <x:c r="A39" s="13" t="n">
        <x:v>45689</x:v>
      </x:c>
      <x:c r="B39" s="14" t="str">
        <x:v>CMP004</x:v>
      </x:c>
      <x:c r="C39" s="14" t="str">
        <x:v>PaidSearch_Retargeting_04</x:v>
      </x:c>
      <x:c r="D39" s="14" t="str">
        <x:v>Paid Search</x:v>
      </x:c>
      <x:c r="E39" s="14" t="str">
        <x:v>Retargeting</x:v>
      </x:c>
      <x:c r="F39" s="14" t="str">
        <x:v>SMB</x:v>
      </x:c>
      <x:c r="G39" s="14" t="str">
        <x:v>North</x:v>
      </x:c>
      <x:c r="H39" s="14" t="n">
        <x:v>757404</x:v>
      </x:c>
      <x:c r="I39" s="14" t="n">
        <x:v>19607</x:v>
      </x:c>
      <x:c r="J39" s="14" t="n">
        <x:v>1472</x:v>
      </x:c>
      <x:c r="K39" s="14" t="n">
        <x:v>235</x:v>
      </x:c>
      <x:c r="L39" s="15" t="n">
        <x:v>50985.66</x:v>
      </x:c>
      <x:c r="M39" s="15" t="n">
        <x:v>262252.42</x:v>
      </x:c>
    </x:row>
    <x:row r="40">
      <x:c r="A40" s="13" t="n">
        <x:v>45717</x:v>
      </x:c>
      <x:c r="B40" s="14" t="str">
        <x:v>CMP004</x:v>
      </x:c>
      <x:c r="C40" s="14" t="str">
        <x:v>PaidSearch_Retargeting_04</x:v>
      </x:c>
      <x:c r="D40" s="14" t="str">
        <x:v>Paid Search</x:v>
      </x:c>
      <x:c r="E40" s="14" t="str">
        <x:v>Retargeting</x:v>
      </x:c>
      <x:c r="F40" s="14" t="str">
        <x:v>SMB</x:v>
      </x:c>
      <x:c r="G40" s="14" t="str">
        <x:v>North</x:v>
      </x:c>
      <x:c r="H40" s="14" t="n">
        <x:v>607095</x:v>
      </x:c>
      <x:c r="I40" s="14" t="n">
        <x:v>13580</x:v>
      </x:c>
      <x:c r="J40" s="14" t="n">
        <x:v>1053</x:v>
      </x:c>
      <x:c r="K40" s="14" t="n">
        <x:v>156</x:v>
      </x:c>
      <x:c r="L40" s="15" t="n">
        <x:v>48058.3</x:v>
      </x:c>
      <x:c r="M40" s="15" t="n">
        <x:v>167656.77</x:v>
      </x:c>
    </x:row>
    <x:row r="41">
      <x:c r="A41" s="13" t="n">
        <x:v>45748</x:v>
      </x:c>
      <x:c r="B41" s="14" t="str">
        <x:v>CMP004</x:v>
      </x:c>
      <x:c r="C41" s="14" t="str">
        <x:v>PaidSearch_Retargeting_04</x:v>
      </x:c>
      <x:c r="D41" s="14" t="str">
        <x:v>Paid Search</x:v>
      </x:c>
      <x:c r="E41" s="14" t="str">
        <x:v>Retargeting</x:v>
      </x:c>
      <x:c r="F41" s="14" t="str">
        <x:v>SMB</x:v>
      </x:c>
      <x:c r="G41" s="14" t="str">
        <x:v>North</x:v>
      </x:c>
      <x:c r="H41" s="14" t="n">
        <x:v>767054</x:v>
      </x:c>
      <x:c r="I41" s="14" t="n">
        <x:v>17932</x:v>
      </x:c>
      <x:c r="J41" s="14" t="n">
        <x:v>1408</x:v>
      </x:c>
      <x:c r="K41" s="14" t="n">
        <x:v>193</x:v>
      </x:c>
      <x:c r="L41" s="15" t="n">
        <x:v>52344.99</x:v>
      </x:c>
      <x:c r="M41" s="15" t="n">
        <x:v>210069.47</x:v>
      </x:c>
    </x:row>
    <x:row r="42">
      <x:c r="A42" s="13" t="n">
        <x:v>45778</x:v>
      </x:c>
      <x:c r="B42" s="14" t="str">
        <x:v>CMP004</x:v>
      </x:c>
      <x:c r="C42" s="14" t="str">
        <x:v>PaidSearch_Retargeting_04</x:v>
      </x:c>
      <x:c r="D42" s="14" t="str">
        <x:v>Paid Search</x:v>
      </x:c>
      <x:c r="E42" s="14" t="str">
        <x:v>Retargeting</x:v>
      </x:c>
      <x:c r="F42" s="14" t="str">
        <x:v>SMB</x:v>
      </x:c>
      <x:c r="G42" s="14" t="str">
        <x:v>North</x:v>
      </x:c>
      <x:c r="H42" s="14" t="n">
        <x:v>703427</x:v>
      </x:c>
      <x:c r="I42" s="14" t="n">
        <x:v>14905</x:v>
      </x:c>
      <x:c r="J42" s="14" t="n">
        <x:v>962</x:v>
      </x:c>
      <x:c r="K42" s="14" t="n">
        <x:v>144</x:v>
      </x:c>
      <x:c r="L42" s="15" t="n">
        <x:v>56426.95</x:v>
      </x:c>
      <x:c r="M42" s="15" t="n">
        <x:v>171750.11</x:v>
      </x:c>
    </x:row>
    <x:row r="43">
      <x:c r="A43" s="13" t="n">
        <x:v>45809</x:v>
      </x:c>
      <x:c r="B43" s="14" t="str">
        <x:v>CMP004</x:v>
      </x:c>
      <x:c r="C43" s="14" t="str">
        <x:v>PaidSearch_Retargeting_04</x:v>
      </x:c>
      <x:c r="D43" s="14" t="str">
        <x:v>Paid Search</x:v>
      </x:c>
      <x:c r="E43" s="14" t="str">
        <x:v>Retargeting</x:v>
      </x:c>
      <x:c r="F43" s="14" t="str">
        <x:v>SMB</x:v>
      </x:c>
      <x:c r="G43" s="14" t="str">
        <x:v>North</x:v>
      </x:c>
      <x:c r="H43" s="14" t="n">
        <x:v>725466</x:v>
      </x:c>
      <x:c r="I43" s="14" t="n">
        <x:v>17309</x:v>
      </x:c>
      <x:c r="J43" s="14" t="n">
        <x:v>1092</x:v>
      </x:c>
      <x:c r="K43" s="14" t="n">
        <x:v>204</x:v>
      </x:c>
      <x:c r="L43" s="15" t="n">
        <x:v>56736.77</x:v>
      </x:c>
      <x:c r="M43" s="15" t="n">
        <x:v>233025.34</x:v>
      </x:c>
    </x:row>
    <x:row r="44">
      <x:c r="A44" s="13" t="n">
        <x:v>45839</x:v>
      </x:c>
      <x:c r="B44" s="14" t="str">
        <x:v>CMP004</x:v>
      </x:c>
      <x:c r="C44" s="14" t="str">
        <x:v>PaidSearch_Retargeting_04</x:v>
      </x:c>
      <x:c r="D44" s="14" t="str">
        <x:v>Paid Search</x:v>
      </x:c>
      <x:c r="E44" s="14" t="str">
        <x:v>Retargeting</x:v>
      </x:c>
      <x:c r="F44" s="14" t="str">
        <x:v>SMB</x:v>
      </x:c>
      <x:c r="G44" s="14" t="str">
        <x:v>North</x:v>
      </x:c>
      <x:c r="H44" s="14" t="n">
        <x:v>617194</x:v>
      </x:c>
      <x:c r="I44" s="14" t="n">
        <x:v>16308</x:v>
      </x:c>
      <x:c r="J44" s="14" t="n">
        <x:v>966</x:v>
      </x:c>
      <x:c r="K44" s="14" t="n">
        <x:v>180</x:v>
      </x:c>
      <x:c r="L44" s="15" t="n">
        <x:v>49415.49</x:v>
      </x:c>
      <x:c r="M44" s="15" t="n">
        <x:v>189640.73</x:v>
      </x:c>
    </x:row>
    <x:row r="45">
      <x:c r="A45" s="13" t="n">
        <x:v>45870</x:v>
      </x:c>
      <x:c r="B45" s="14" t="str">
        <x:v>CMP004</x:v>
      </x:c>
      <x:c r="C45" s="14" t="str">
        <x:v>PaidSearch_Retargeting_04</x:v>
      </x:c>
      <x:c r="D45" s="14" t="str">
        <x:v>Paid Search</x:v>
      </x:c>
      <x:c r="E45" s="14" t="str">
        <x:v>Retargeting</x:v>
      </x:c>
      <x:c r="F45" s="14" t="str">
        <x:v>SMB</x:v>
      </x:c>
      <x:c r="G45" s="14" t="str">
        <x:v>North</x:v>
      </x:c>
      <x:c r="H45" s="14" t="n">
        <x:v>608286</x:v>
      </x:c>
      <x:c r="I45" s="14" t="n">
        <x:v>13223</x:v>
      </x:c>
      <x:c r="J45" s="14" t="n">
        <x:v>820</x:v>
      </x:c>
      <x:c r="K45" s="14" t="n">
        <x:v>114</x:v>
      </x:c>
      <x:c r="L45" s="15" t="n">
        <x:v>48196.78</x:v>
      </x:c>
      <x:c r="M45" s="15" t="n">
        <x:v>126458.34</x:v>
      </x:c>
    </x:row>
    <x:row r="46">
      <x:c r="A46" s="13" t="n">
        <x:v>45901</x:v>
      </x:c>
      <x:c r="B46" s="14" t="str">
        <x:v>CMP004</x:v>
      </x:c>
      <x:c r="C46" s="14" t="str">
        <x:v>PaidSearch_Retargeting_04</x:v>
      </x:c>
      <x:c r="D46" s="14" t="str">
        <x:v>Paid Search</x:v>
      </x:c>
      <x:c r="E46" s="14" t="str">
        <x:v>Retargeting</x:v>
      </x:c>
      <x:c r="F46" s="14" t="str">
        <x:v>SMB</x:v>
      </x:c>
      <x:c r="G46" s="14" t="str">
        <x:v>North</x:v>
      </x:c>
      <x:c r="H46" s="14" t="n">
        <x:v>620008</x:v>
      </x:c>
      <x:c r="I46" s="14" t="n">
        <x:v>16738</x:v>
      </x:c>
      <x:c r="J46" s="14" t="n">
        <x:v>1076</x:v>
      </x:c>
      <x:c r="K46" s="14" t="n">
        <x:v>187</x:v>
      </x:c>
      <x:c r="L46" s="15" t="n">
        <x:v>45561.87</x:v>
      </x:c>
      <x:c r="M46" s="15" t="n">
        <x:v>195562.68</x:v>
      </x:c>
    </x:row>
    <x:row r="47">
      <x:c r="A47" s="13" t="n">
        <x:v>45931</x:v>
      </x:c>
      <x:c r="B47" s="14" t="str">
        <x:v>CMP004</x:v>
      </x:c>
      <x:c r="C47" s="14" t="str">
        <x:v>PaidSearch_Retargeting_04</x:v>
      </x:c>
      <x:c r="D47" s="14" t="str">
        <x:v>Paid Search</x:v>
      </x:c>
      <x:c r="E47" s="14" t="str">
        <x:v>Retargeting</x:v>
      </x:c>
      <x:c r="F47" s="14" t="str">
        <x:v>SMB</x:v>
      </x:c>
      <x:c r="G47" s="14" t="str">
        <x:v>North</x:v>
      </x:c>
      <x:c r="H47" s="14" t="n">
        <x:v>646651</x:v>
      </x:c>
      <x:c r="I47" s="14" t="n">
        <x:v>18206</x:v>
      </x:c>
      <x:c r="J47" s="14" t="n">
        <x:v>1118</x:v>
      </x:c>
      <x:c r="K47" s="14" t="n">
        <x:v>179</x:v>
      </x:c>
      <x:c r="L47" s="15" t="n">
        <x:v>50862.85</x:v>
      </x:c>
      <x:c r="M47" s="15" t="n">
        <x:v>187695.25</x:v>
      </x:c>
    </x:row>
    <x:row r="48">
      <x:c r="A48" s="13" t="n">
        <x:v>45962</x:v>
      </x:c>
      <x:c r="B48" s="14" t="str">
        <x:v>CMP004</x:v>
      </x:c>
      <x:c r="C48" s="14" t="str">
        <x:v>PaidSearch_Retargeting_04</x:v>
      </x:c>
      <x:c r="D48" s="14" t="str">
        <x:v>Paid Search</x:v>
      </x:c>
      <x:c r="E48" s="14" t="str">
        <x:v>Retargeting</x:v>
      </x:c>
      <x:c r="F48" s="14" t="str">
        <x:v>SMB</x:v>
      </x:c>
      <x:c r="G48" s="14" t="str">
        <x:v>North</x:v>
      </x:c>
      <x:c r="H48" s="14" t="n">
        <x:v>604486</x:v>
      </x:c>
      <x:c r="I48" s="14" t="n">
        <x:v>15880</x:v>
      </x:c>
      <x:c r="J48" s="14" t="n">
        <x:v>1045</x:v>
      </x:c>
      <x:c r="K48" s="14" t="n">
        <x:v>189</x:v>
      </x:c>
      <x:c r="L48" s="15" t="n">
        <x:v>46150.56</x:v>
      </x:c>
      <x:c r="M48" s="15" t="n">
        <x:v>209590.58</x:v>
      </x:c>
    </x:row>
    <x:row r="49">
      <x:c r="A49" s="13" t="n">
        <x:v>45992</x:v>
      </x:c>
      <x:c r="B49" s="14" t="str">
        <x:v>CMP004</x:v>
      </x:c>
      <x:c r="C49" s="14" t="str">
        <x:v>PaidSearch_Retargeting_04</x:v>
      </x:c>
      <x:c r="D49" s="14" t="str">
        <x:v>Paid Search</x:v>
      </x:c>
      <x:c r="E49" s="14" t="str">
        <x:v>Retargeting</x:v>
      </x:c>
      <x:c r="F49" s="14" t="str">
        <x:v>SMB</x:v>
      </x:c>
      <x:c r="G49" s="14" t="str">
        <x:v>North</x:v>
      </x:c>
      <x:c r="H49" s="14" t="n">
        <x:v>884276</x:v>
      </x:c>
      <x:c r="I49" s="14" t="n">
        <x:v>18753</x:v>
      </x:c>
      <x:c r="J49" s="14" t="n">
        <x:v>1536</x:v>
      </x:c>
      <x:c r="K49" s="14" t="n">
        <x:v>295</x:v>
      </x:c>
      <x:c r="L49" s="15" t="n">
        <x:v>55927.72</x:v>
      </x:c>
      <x:c r="M49" s="15" t="n">
        <x:v>326744.35</x:v>
      </x:c>
    </x:row>
    <x:row r="50">
      <x:c r="A50" s="13" t="n">
        <x:v>45658</x:v>
      </x:c>
      <x:c r="B50" s="14" t="str">
        <x:v>CMP005</x:v>
      </x:c>
      <x:c r="C50" s="14" t="str">
        <x:v>PaidSearch_Retargeting_05</x:v>
      </x:c>
      <x:c r="D50" s="14" t="str">
        <x:v>Paid Search</x:v>
      </x:c>
      <x:c r="E50" s="14" t="str">
        <x:v>Retargeting</x:v>
      </x:c>
      <x:c r="F50" s="14" t="str">
        <x:v>SMB</x:v>
      </x:c>
      <x:c r="G50" s="14" t="str">
        <x:v>East</x:v>
      </x:c>
      <x:c r="H50" s="14" t="n">
        <x:v>191270</x:v>
      </x:c>
      <x:c r="I50" s="14" t="n">
        <x:v>4912</x:v>
      </x:c>
      <x:c r="J50" s="14" t="n">
        <x:v>379</x:v>
      </x:c>
      <x:c r="K50" s="14" t="n">
        <x:v>68</x:v>
      </x:c>
      <x:c r="L50" s="15" t="n">
        <x:v>24879.31</x:v>
      </x:c>
      <x:c r="M50" s="15" t="n">
        <x:v>70309.01</x:v>
      </x:c>
    </x:row>
    <x:row r="51">
      <x:c r="A51" s="13" t="n">
        <x:v>45689</x:v>
      </x:c>
      <x:c r="B51" s="14" t="str">
        <x:v>CMP005</x:v>
      </x:c>
      <x:c r="C51" s="14" t="str">
        <x:v>PaidSearch_Retargeting_05</x:v>
      </x:c>
      <x:c r="D51" s="14" t="str">
        <x:v>Paid Search</x:v>
      </x:c>
      <x:c r="E51" s="14" t="str">
        <x:v>Retargeting</x:v>
      </x:c>
      <x:c r="F51" s="14" t="str">
        <x:v>SMB</x:v>
      </x:c>
      <x:c r="G51" s="14" t="str">
        <x:v>East</x:v>
      </x:c>
      <x:c r="H51" s="14" t="n">
        <x:v>234436</x:v>
      </x:c>
      <x:c r="I51" s="14" t="n">
        <x:v>5990</x:v>
      </x:c>
      <x:c r="J51" s="14" t="n">
        <x:v>466</x:v>
      </x:c>
      <x:c r="K51" s="14" t="n">
        <x:v>69</x:v>
      </x:c>
      <x:c r="L51" s="15" t="n">
        <x:v>25176.23</x:v>
      </x:c>
      <x:c r="M51" s="15" t="n">
        <x:v>77562.05</x:v>
      </x:c>
    </x:row>
    <x:row r="52">
      <x:c r="A52" s="13" t="n">
        <x:v>45717</x:v>
      </x:c>
      <x:c r="B52" s="14" t="str">
        <x:v>CMP005</x:v>
      </x:c>
      <x:c r="C52" s="14" t="str">
        <x:v>PaidSearch_Retargeting_05</x:v>
      </x:c>
      <x:c r="D52" s="14" t="str">
        <x:v>Paid Search</x:v>
      </x:c>
      <x:c r="E52" s="14" t="str">
        <x:v>Retargeting</x:v>
      </x:c>
      <x:c r="F52" s="14" t="str">
        <x:v>SMB</x:v>
      </x:c>
      <x:c r="G52" s="14" t="str">
        <x:v>East</x:v>
      </x:c>
      <x:c r="H52" s="14" t="n">
        <x:v>195684</x:v>
      </x:c>
      <x:c r="I52" s="14" t="n">
        <x:v>5138</x:v>
      </x:c>
      <x:c r="J52" s="14" t="n">
        <x:v>412</x:v>
      </x:c>
      <x:c r="K52" s="14" t="n">
        <x:v>72</x:v>
      </x:c>
      <x:c r="L52" s="15" t="n">
        <x:v>25625.67</x:v>
      </x:c>
      <x:c r="M52" s="15" t="n">
        <x:v>85055.65</x:v>
      </x:c>
    </x:row>
    <x:row r="53">
      <x:c r="A53" s="13" t="n">
        <x:v>45748</x:v>
      </x:c>
      <x:c r="B53" s="14" t="str">
        <x:v>CMP005</x:v>
      </x:c>
      <x:c r="C53" s="14" t="str">
        <x:v>PaidSearch_Retargeting_05</x:v>
      </x:c>
      <x:c r="D53" s="14" t="str">
        <x:v>Paid Search</x:v>
      </x:c>
      <x:c r="E53" s="14" t="str">
        <x:v>Retargeting</x:v>
      </x:c>
      <x:c r="F53" s="14" t="str">
        <x:v>SMB</x:v>
      </x:c>
      <x:c r="G53" s="14" t="str">
        <x:v>East</x:v>
      </x:c>
      <x:c r="H53" s="14" t="n">
        <x:v>202528</x:v>
      </x:c>
      <x:c r="I53" s="14" t="n">
        <x:v>4416</x:v>
      </x:c>
      <x:c r="J53" s="14" t="n">
        <x:v>349</x:v>
      </x:c>
      <x:c r="K53" s="14" t="n">
        <x:v>60</x:v>
      </x:c>
      <x:c r="L53" s="15" t="n">
        <x:v>25406.48</x:v>
      </x:c>
      <x:c r="M53" s="15" t="n">
        <x:v>70651.16</x:v>
      </x:c>
    </x:row>
    <x:row r="54">
      <x:c r="A54" s="13" t="n">
        <x:v>45778</x:v>
      </x:c>
      <x:c r="B54" s="14" t="str">
        <x:v>CMP005</x:v>
      </x:c>
      <x:c r="C54" s="14" t="str">
        <x:v>PaidSearch_Retargeting_05</x:v>
      </x:c>
      <x:c r="D54" s="14" t="str">
        <x:v>Paid Search</x:v>
      </x:c>
      <x:c r="E54" s="14" t="str">
        <x:v>Retargeting</x:v>
      </x:c>
      <x:c r="F54" s="14" t="str">
        <x:v>SMB</x:v>
      </x:c>
      <x:c r="G54" s="14" t="str">
        <x:v>East</x:v>
      </x:c>
      <x:c r="H54" s="14" t="n">
        <x:v>288309</x:v>
      </x:c>
      <x:c r="I54" s="14" t="n">
        <x:v>7384</x:v>
      </x:c>
      <x:c r="J54" s="14" t="n">
        <x:v>434</x:v>
      </x:c>
      <x:c r="K54" s="14" t="n">
        <x:v>77</x:v>
      </x:c>
      <x:c r="L54" s="15" t="n">
        <x:v>32308.88</x:v>
      </x:c>
      <x:c r="M54" s="15" t="n">
        <x:v>90576.52</x:v>
      </x:c>
    </x:row>
    <x:row r="55">
      <x:c r="A55" s="13" t="n">
        <x:v>45809</x:v>
      </x:c>
      <x:c r="B55" s="14" t="str">
        <x:v>CMP005</x:v>
      </x:c>
      <x:c r="C55" s="14" t="str">
        <x:v>PaidSearch_Retargeting_05</x:v>
      </x:c>
      <x:c r="D55" s="14" t="str">
        <x:v>Paid Search</x:v>
      </x:c>
      <x:c r="E55" s="14" t="str">
        <x:v>Retargeting</x:v>
      </x:c>
      <x:c r="F55" s="14" t="str">
        <x:v>SMB</x:v>
      </x:c>
      <x:c r="G55" s="14" t="str">
        <x:v>East</x:v>
      </x:c>
      <x:c r="H55" s="14" t="n">
        <x:v>217860</x:v>
      </x:c>
      <x:c r="I55" s="14" t="n">
        <x:v>4984</x:v>
      </x:c>
      <x:c r="J55" s="14" t="n">
        <x:v>317</x:v>
      </x:c>
      <x:c r="K55" s="14" t="n">
        <x:v>55</x:v>
      </x:c>
      <x:c r="L55" s="15" t="n">
        <x:v>27826.57</x:v>
      </x:c>
      <x:c r="M55" s="15" t="n">
        <x:v>57079.1</x:v>
      </x:c>
    </x:row>
    <x:row r="56">
      <x:c r="A56" s="13" t="n">
        <x:v>45839</x:v>
      </x:c>
      <x:c r="B56" s="14" t="str">
        <x:v>CMP005</x:v>
      </x:c>
      <x:c r="C56" s="14" t="str">
        <x:v>PaidSearch_Retargeting_05</x:v>
      </x:c>
      <x:c r="D56" s="14" t="str">
        <x:v>Paid Search</x:v>
      </x:c>
      <x:c r="E56" s="14" t="str">
        <x:v>Retargeting</x:v>
      </x:c>
      <x:c r="F56" s="14" t="str">
        <x:v>SMB</x:v>
      </x:c>
      <x:c r="G56" s="14" t="str">
        <x:v>East</x:v>
      </x:c>
      <x:c r="H56" s="14" t="n">
        <x:v>222062</x:v>
      </x:c>
      <x:c r="I56" s="14" t="n">
        <x:v>4835</x:v>
      </x:c>
      <x:c r="J56" s="14" t="n">
        <x:v>374</x:v>
      </x:c>
      <x:c r="K56" s="14" t="n">
        <x:v>69</x:v>
      </x:c>
      <x:c r="L56" s="15" t="n">
        <x:v>24418.96</x:v>
      </x:c>
      <x:c r="M56" s="15" t="n">
        <x:v>72388.83</x:v>
      </x:c>
    </x:row>
    <x:row r="57">
      <x:c r="A57" s="13" t="n">
        <x:v>45870</x:v>
      </x:c>
      <x:c r="B57" s="14" t="str">
        <x:v>CMP005</x:v>
      </x:c>
      <x:c r="C57" s="14" t="str">
        <x:v>PaidSearch_Retargeting_05</x:v>
      </x:c>
      <x:c r="D57" s="14" t="str">
        <x:v>Paid Search</x:v>
      </x:c>
      <x:c r="E57" s="14" t="str">
        <x:v>Retargeting</x:v>
      </x:c>
      <x:c r="F57" s="14" t="str">
        <x:v>SMB</x:v>
      </x:c>
      <x:c r="G57" s="14" t="str">
        <x:v>East</x:v>
      </x:c>
      <x:c r="H57" s="14" t="n">
        <x:v>249551</x:v>
      </x:c>
      <x:c r="I57" s="14" t="n">
        <x:v>6795</x:v>
      </x:c>
      <x:c r="J57" s="14" t="n">
        <x:v>471</x:v>
      </x:c>
      <x:c r="K57" s="14" t="n">
        <x:v>86</x:v>
      </x:c>
      <x:c r="L57" s="15" t="n">
        <x:v>28910.24</x:v>
      </x:c>
      <x:c r="M57" s="15" t="n">
        <x:v>87131.74</x:v>
      </x:c>
    </x:row>
    <x:row r="58">
      <x:c r="A58" s="13" t="n">
        <x:v>45901</x:v>
      </x:c>
      <x:c r="B58" s="14" t="str">
        <x:v>CMP005</x:v>
      </x:c>
      <x:c r="C58" s="14" t="str">
        <x:v>PaidSearch_Retargeting_05</x:v>
      </x:c>
      <x:c r="D58" s="14" t="str">
        <x:v>Paid Search</x:v>
      </x:c>
      <x:c r="E58" s="14" t="str">
        <x:v>Retargeting</x:v>
      </x:c>
      <x:c r="F58" s="14" t="str">
        <x:v>SMB</x:v>
      </x:c>
      <x:c r="G58" s="14" t="str">
        <x:v>East</x:v>
      </x:c>
      <x:c r="H58" s="14" t="n">
        <x:v>311655</x:v>
      </x:c>
      <x:c r="I58" s="14" t="n">
        <x:v>8438</x:v>
      </x:c>
      <x:c r="J58" s="14" t="n">
        <x:v>528</x:v>
      </x:c>
      <x:c r="K58" s="14" t="n">
        <x:v>69</x:v>
      </x:c>
      <x:c r="L58" s="15" t="n">
        <x:v>34141.67</x:v>
      </x:c>
      <x:c r="M58" s="15" t="n">
        <x:v>74743.25</x:v>
      </x:c>
    </x:row>
    <x:row r="59">
      <x:c r="A59" s="13" t="n">
        <x:v>45931</x:v>
      </x:c>
      <x:c r="B59" s="14" t="str">
        <x:v>CMP005</x:v>
      </x:c>
      <x:c r="C59" s="14" t="str">
        <x:v>PaidSearch_Retargeting_05</x:v>
      </x:c>
      <x:c r="D59" s="14" t="str">
        <x:v>Paid Search</x:v>
      </x:c>
      <x:c r="E59" s="14" t="str">
        <x:v>Retargeting</x:v>
      </x:c>
      <x:c r="F59" s="14" t="str">
        <x:v>SMB</x:v>
      </x:c>
      <x:c r="G59" s="14" t="str">
        <x:v>East</x:v>
      </x:c>
      <x:c r="H59" s="14" t="n">
        <x:v>291729</x:v>
      </x:c>
      <x:c r="I59" s="14" t="n">
        <x:v>7030</x:v>
      </x:c>
      <x:c r="J59" s="14" t="n">
        <x:v>483</x:v>
      </x:c>
      <x:c r="K59" s="14" t="n">
        <x:v>71</x:v>
      </x:c>
      <x:c r="L59" s="15" t="n">
        <x:v>33081.73</x:v>
      </x:c>
      <x:c r="M59" s="15" t="n">
        <x:v>79123.3</x:v>
      </x:c>
    </x:row>
    <x:row r="60">
      <x:c r="A60" s="13" t="n">
        <x:v>45962</x:v>
      </x:c>
      <x:c r="B60" s="14" t="str">
        <x:v>CMP005</x:v>
      </x:c>
      <x:c r="C60" s="14" t="str">
        <x:v>PaidSearch_Retargeting_05</x:v>
      </x:c>
      <x:c r="D60" s="14" t="str">
        <x:v>Paid Search</x:v>
      </x:c>
      <x:c r="E60" s="14" t="str">
        <x:v>Retargeting</x:v>
      </x:c>
      <x:c r="F60" s="14" t="str">
        <x:v>SMB</x:v>
      </x:c>
      <x:c r="G60" s="14" t="str">
        <x:v>East</x:v>
      </x:c>
      <x:c r="H60" s="14" t="n">
        <x:v>244928</x:v>
      </x:c>
      <x:c r="I60" s="14" t="n">
        <x:v>4665</x:v>
      </x:c>
      <x:c r="J60" s="14" t="n">
        <x:v>368</x:v>
      </x:c>
      <x:c r="K60" s="14" t="n">
        <x:v>58</x:v>
      </x:c>
      <x:c r="L60" s="15" t="n">
        <x:v>30531.54</x:v>
      </x:c>
      <x:c r="M60" s="15" t="n">
        <x:v>66454.62</x:v>
      </x:c>
    </x:row>
    <x:row r="61">
      <x:c r="A61" s="13" t="n">
        <x:v>45992</x:v>
      </x:c>
      <x:c r="B61" s="14" t="str">
        <x:v>CMP005</x:v>
      </x:c>
      <x:c r="C61" s="14" t="str">
        <x:v>PaidSearch_Retargeting_05</x:v>
      </x:c>
      <x:c r="D61" s="14" t="str">
        <x:v>Paid Search</x:v>
      </x:c>
      <x:c r="E61" s="14" t="str">
        <x:v>Retargeting</x:v>
      </x:c>
      <x:c r="F61" s="14" t="str">
        <x:v>SMB</x:v>
      </x:c>
      <x:c r="G61" s="14" t="str">
        <x:v>East</x:v>
      </x:c>
      <x:c r="H61" s="14" t="n">
        <x:v>301447</x:v>
      </x:c>
      <x:c r="I61" s="14" t="n">
        <x:v>6654</x:v>
      </x:c>
      <x:c r="J61" s="14" t="n">
        <x:v>384</x:v>
      </x:c>
      <x:c r="K61" s="14" t="n">
        <x:v>63</x:v>
      </x:c>
      <x:c r="L61" s="15" t="n">
        <x:v>37249.3</x:v>
      </x:c>
      <x:c r="M61" s="15" t="n">
        <x:v>66800.51</x:v>
      </x:c>
    </x:row>
    <x:row r="62">
      <x:c r="A62" s="13" t="n">
        <x:v>45658</x:v>
      </x:c>
      <x:c r="B62" s="14" t="str">
        <x:v>CMP006</x:v>
      </x:c>
      <x:c r="C62" s="14" t="str">
        <x:v>PaidSocial_Retargeting_01</x:v>
      </x:c>
      <x:c r="D62" s="14" t="str">
        <x:v>Paid Social</x:v>
      </x:c>
      <x:c r="E62" s="14" t="str">
        <x:v>Retargeting</x:v>
      </x:c>
      <x:c r="F62" s="14" t="str">
        <x:v>B2B</x:v>
      </x:c>
      <x:c r="G62" s="14" t="str">
        <x:v>West</x:v>
      </x:c>
      <x:c r="H62" s="14" t="n">
        <x:v>515161</x:v>
      </x:c>
      <x:c r="I62" s="14" t="n">
        <x:v>8879</x:v>
      </x:c>
      <x:c r="J62" s="14" t="n">
        <x:v>499</x:v>
      </x:c>
      <x:c r="K62" s="14" t="n">
        <x:v>57</x:v>
      </x:c>
      <x:c r="L62" s="15" t="n">
        <x:v>33244.25</x:v>
      </x:c>
      <x:c r="M62" s="15" t="n">
        <x:v>54128.33</x:v>
      </x:c>
    </x:row>
    <x:row r="63">
      <x:c r="A63" s="13" t="n">
        <x:v>45689</x:v>
      </x:c>
      <x:c r="B63" s="14" t="str">
        <x:v>CMP006</x:v>
      </x:c>
      <x:c r="C63" s="14" t="str">
        <x:v>PaidSocial_Retargeting_01</x:v>
      </x:c>
      <x:c r="D63" s="14" t="str">
        <x:v>Paid Social</x:v>
      </x:c>
      <x:c r="E63" s="14" t="str">
        <x:v>Retargeting</x:v>
      </x:c>
      <x:c r="F63" s="14" t="str">
        <x:v>B2B</x:v>
      </x:c>
      <x:c r="G63" s="14" t="str">
        <x:v>West</x:v>
      </x:c>
      <x:c r="H63" s="14" t="n">
        <x:v>439062</x:v>
      </x:c>
      <x:c r="I63" s="14" t="n">
        <x:v>6236</x:v>
      </x:c>
      <x:c r="J63" s="14" t="n">
        <x:v>352</x:v>
      </x:c>
      <x:c r="K63" s="14" t="n">
        <x:v>44</x:v>
      </x:c>
      <x:c r="L63" s="15" t="n">
        <x:v>31327.63</x:v>
      </x:c>
      <x:c r="M63" s="15" t="n">
        <x:v>43148.8</x:v>
      </x:c>
    </x:row>
    <x:row r="64">
      <x:c r="A64" s="13" t="n">
        <x:v>45717</x:v>
      </x:c>
      <x:c r="B64" s="14" t="str">
        <x:v>CMP006</x:v>
      </x:c>
      <x:c r="C64" s="14" t="str">
        <x:v>PaidSocial_Retargeting_01</x:v>
      </x:c>
      <x:c r="D64" s="14" t="str">
        <x:v>Paid Social</x:v>
      </x:c>
      <x:c r="E64" s="14" t="str">
        <x:v>Retargeting</x:v>
      </x:c>
      <x:c r="F64" s="14" t="str">
        <x:v>B2B</x:v>
      </x:c>
      <x:c r="G64" s="14" t="str">
        <x:v>West</x:v>
      </x:c>
      <x:c r="H64" s="14" t="n">
        <x:v>513115</x:v>
      </x:c>
      <x:c r="I64" s="14" t="n">
        <x:v>9107</x:v>
      </x:c>
      <x:c r="J64" s="14" t="n">
        <x:v>522</x:v>
      </x:c>
      <x:c r="K64" s="14" t="n">
        <x:v>63</x:v>
      </x:c>
      <x:c r="L64" s="15" t="n">
        <x:v>32150.22</x:v>
      </x:c>
      <x:c r="M64" s="15" t="n">
        <x:v>57241.35</x:v>
      </x:c>
    </x:row>
    <x:row r="65">
      <x:c r="A65" s="13" t="n">
        <x:v>45748</x:v>
      </x:c>
      <x:c r="B65" s="14" t="str">
        <x:v>CMP006</x:v>
      </x:c>
      <x:c r="C65" s="14" t="str">
        <x:v>PaidSocial_Retargeting_01</x:v>
      </x:c>
      <x:c r="D65" s="14" t="str">
        <x:v>Paid Social</x:v>
      </x:c>
      <x:c r="E65" s="14" t="str">
        <x:v>Retargeting</x:v>
      </x:c>
      <x:c r="F65" s="14" t="str">
        <x:v>B2B</x:v>
      </x:c>
      <x:c r="G65" s="14" t="str">
        <x:v>West</x:v>
      </x:c>
      <x:c r="H65" s="14" t="n">
        <x:v>558047</x:v>
      </x:c>
      <x:c r="I65" s="14" t="n">
        <x:v>9930</x:v>
      </x:c>
      <x:c r="J65" s="14" t="n">
        <x:v>639</x:v>
      </x:c>
      <x:c r="K65" s="14" t="n">
        <x:v>91</x:v>
      </x:c>
      <x:c r="L65" s="15" t="n">
        <x:v>37680.17</x:v>
      </x:c>
      <x:c r="M65" s="15" t="n">
        <x:v>86313.7</x:v>
      </x:c>
    </x:row>
    <x:row r="66">
      <x:c r="A66" s="13" t="n">
        <x:v>45778</x:v>
      </x:c>
      <x:c r="B66" s="14" t="str">
        <x:v>CMP006</x:v>
      </x:c>
      <x:c r="C66" s="14" t="str">
        <x:v>PaidSocial_Retargeting_01</x:v>
      </x:c>
      <x:c r="D66" s="14" t="str">
        <x:v>Paid Social</x:v>
      </x:c>
      <x:c r="E66" s="14" t="str">
        <x:v>Retargeting</x:v>
      </x:c>
      <x:c r="F66" s="14" t="str">
        <x:v>B2B</x:v>
      </x:c>
      <x:c r="G66" s="14" t="str">
        <x:v>West</x:v>
      </x:c>
      <x:c r="H66" s="14" t="n">
        <x:v>465334</x:v>
      </x:c>
      <x:c r="I66" s="14" t="n">
        <x:v>7810</x:v>
      </x:c>
      <x:c r="J66" s="14" t="n">
        <x:v>368</x:v>
      </x:c>
      <x:c r="K66" s="14" t="n">
        <x:v>56</x:v>
      </x:c>
      <x:c r="L66" s="15" t="n">
        <x:v>32568.3</x:v>
      </x:c>
      <x:c r="M66" s="15" t="n">
        <x:v>48750.75</x:v>
      </x:c>
    </x:row>
    <x:row r="67">
      <x:c r="A67" s="13" t="n">
        <x:v>45809</x:v>
      </x:c>
      <x:c r="B67" s="14" t="str">
        <x:v>CMP006</x:v>
      </x:c>
      <x:c r="C67" s="14" t="str">
        <x:v>PaidSocial_Retargeting_01</x:v>
      </x:c>
      <x:c r="D67" s="14" t="str">
        <x:v>Paid Social</x:v>
      </x:c>
      <x:c r="E67" s="14" t="str">
        <x:v>Retargeting</x:v>
      </x:c>
      <x:c r="F67" s="14" t="str">
        <x:v>B2B</x:v>
      </x:c>
      <x:c r="G67" s="14" t="str">
        <x:v>West</x:v>
      </x:c>
      <x:c r="H67" s="14" t="n">
        <x:v>472441</x:v>
      </x:c>
      <x:c r="I67" s="14" t="n">
        <x:v>6637</x:v>
      </x:c>
      <x:c r="J67" s="14" t="n">
        <x:v>306</x:v>
      </x:c>
      <x:c r="K67" s="14" t="n">
        <x:v>47</x:v>
      </x:c>
      <x:c r="L67" s="15" t="n">
        <x:v>34155.38</x:v>
      </x:c>
      <x:c r="M67" s="15" t="n">
        <x:v>44168.47</x:v>
      </x:c>
    </x:row>
    <x:row r="68">
      <x:c r="A68" s="13" t="n">
        <x:v>45839</x:v>
      </x:c>
      <x:c r="B68" s="14" t="str">
        <x:v>CMP006</x:v>
      </x:c>
      <x:c r="C68" s="14" t="str">
        <x:v>PaidSocial_Retargeting_01</x:v>
      </x:c>
      <x:c r="D68" s="14" t="str">
        <x:v>Paid Social</x:v>
      </x:c>
      <x:c r="E68" s="14" t="str">
        <x:v>Retargeting</x:v>
      </x:c>
      <x:c r="F68" s="14" t="str">
        <x:v>B2B</x:v>
      </x:c>
      <x:c r="G68" s="14" t="str">
        <x:v>West</x:v>
      </x:c>
      <x:c r="H68" s="14" t="n">
        <x:v>559142</x:v>
      </x:c>
      <x:c r="I68" s="14" t="n">
        <x:v>10249</x:v>
      </x:c>
      <x:c r="J68" s="14" t="n">
        <x:v>581</x:v>
      </x:c>
      <x:c r="K68" s="14" t="n">
        <x:v>82</x:v>
      </x:c>
      <x:c r="L68" s="15" t="n">
        <x:v>37250.28</x:v>
      </x:c>
      <x:c r="M68" s="15" t="n">
        <x:v>73633.08</x:v>
      </x:c>
    </x:row>
    <x:row r="69">
      <x:c r="A69" s="13" t="n">
        <x:v>45870</x:v>
      </x:c>
      <x:c r="B69" s="14" t="str">
        <x:v>CMP006</x:v>
      </x:c>
      <x:c r="C69" s="14" t="str">
        <x:v>PaidSocial_Retargeting_01</x:v>
      </x:c>
      <x:c r="D69" s="14" t="str">
        <x:v>Paid Social</x:v>
      </x:c>
      <x:c r="E69" s="14" t="str">
        <x:v>Retargeting</x:v>
      </x:c>
      <x:c r="F69" s="14" t="str">
        <x:v>B2B</x:v>
      </x:c>
      <x:c r="G69" s="14" t="str">
        <x:v>West</x:v>
      </x:c>
      <x:c r="H69" s="14" t="n">
        <x:v>517049</x:v>
      </x:c>
      <x:c r="I69" s="14" t="n">
        <x:v>8883</x:v>
      </x:c>
      <x:c r="J69" s="14" t="n">
        <x:v>559</x:v>
      </x:c>
      <x:c r="K69" s="14" t="n">
        <x:v>83</x:v>
      </x:c>
      <x:c r="L69" s="15" t="n">
        <x:v>31873.51</x:v>
      </x:c>
      <x:c r="M69" s="15" t="n">
        <x:v>82183.89</x:v>
      </x:c>
    </x:row>
    <x:row r="70">
      <x:c r="A70" s="13" t="n">
        <x:v>45901</x:v>
      </x:c>
      <x:c r="B70" s="14" t="str">
        <x:v>CMP006</x:v>
      </x:c>
      <x:c r="C70" s="14" t="str">
        <x:v>PaidSocial_Retargeting_01</x:v>
      </x:c>
      <x:c r="D70" s="14" t="str">
        <x:v>Paid Social</x:v>
      </x:c>
      <x:c r="E70" s="14" t="str">
        <x:v>Retargeting</x:v>
      </x:c>
      <x:c r="F70" s="14" t="str">
        <x:v>B2B</x:v>
      </x:c>
      <x:c r="G70" s="14" t="str">
        <x:v>West</x:v>
      </x:c>
      <x:c r="H70" s="14" t="n">
        <x:v>612770</x:v>
      </x:c>
      <x:c r="I70" s="14" t="n">
        <x:v>10941</x:v>
      </x:c>
      <x:c r="J70" s="14" t="n">
        <x:v>646</x:v>
      </x:c>
      <x:c r="K70" s="14" t="n">
        <x:v>83</x:v>
      </x:c>
      <x:c r="L70" s="15" t="n">
        <x:v>38480.07</x:v>
      </x:c>
      <x:c r="M70" s="15" t="n">
        <x:v>77177.6</x:v>
      </x:c>
    </x:row>
    <x:row r="71">
      <x:c r="A71" s="13" t="n">
        <x:v>45931</x:v>
      </x:c>
      <x:c r="B71" s="14" t="str">
        <x:v>CMP006</x:v>
      </x:c>
      <x:c r="C71" s="14" t="str">
        <x:v>PaidSocial_Retargeting_01</x:v>
      </x:c>
      <x:c r="D71" s="14" t="str">
        <x:v>Paid Social</x:v>
      </x:c>
      <x:c r="E71" s="14" t="str">
        <x:v>Retargeting</x:v>
      </x:c>
      <x:c r="F71" s="14" t="str">
        <x:v>B2B</x:v>
      </x:c>
      <x:c r="G71" s="14" t="str">
        <x:v>West</x:v>
      </x:c>
      <x:c r="H71" s="14" t="n">
        <x:v>679625</x:v>
      </x:c>
      <x:c r="I71" s="14" t="n">
        <x:v>9493</x:v>
      </x:c>
      <x:c r="J71" s="14" t="n">
        <x:v>517</x:v>
      </x:c>
      <x:c r="K71" s="14" t="n">
        <x:v>68</x:v>
      </x:c>
      <x:c r="L71" s="15" t="n">
        <x:v>41607.63</x:v>
      </x:c>
      <x:c r="M71" s="15" t="n">
        <x:v>63248.84</x:v>
      </x:c>
    </x:row>
    <x:row r="72">
      <x:c r="A72" s="13" t="n">
        <x:v>45962</x:v>
      </x:c>
      <x:c r="B72" s="14" t="str">
        <x:v>CMP006</x:v>
      </x:c>
      <x:c r="C72" s="14" t="str">
        <x:v>PaidSocial_Retargeting_01</x:v>
      </x:c>
      <x:c r="D72" s="14" t="str">
        <x:v>Paid Social</x:v>
      </x:c>
      <x:c r="E72" s="14" t="str">
        <x:v>Retargeting</x:v>
      </x:c>
      <x:c r="F72" s="14" t="str">
        <x:v>B2B</x:v>
      </x:c>
      <x:c r="G72" s="14" t="str">
        <x:v>West</x:v>
      </x:c>
      <x:c r="H72" s="14" t="n">
        <x:v>519716</x:v>
      </x:c>
      <x:c r="I72" s="14" t="n">
        <x:v>8190</x:v>
      </x:c>
      <x:c r="J72" s="14" t="n">
        <x:v>503</x:v>
      </x:c>
      <x:c r="K72" s="14" t="n">
        <x:v>75</x:v>
      </x:c>
      <x:c r="L72" s="15" t="n">
        <x:v>37142.19</x:v>
      </x:c>
      <x:c r="M72" s="15" t="n">
        <x:v>67937</x:v>
      </x:c>
    </x:row>
    <x:row r="73">
      <x:c r="A73" s="13" t="n">
        <x:v>45992</x:v>
      </x:c>
      <x:c r="B73" s="14" t="str">
        <x:v>CMP006</x:v>
      </x:c>
      <x:c r="C73" s="14" t="str">
        <x:v>PaidSocial_Retargeting_01</x:v>
      </x:c>
      <x:c r="D73" s="14" t="str">
        <x:v>Paid Social</x:v>
      </x:c>
      <x:c r="E73" s="14" t="str">
        <x:v>Retargeting</x:v>
      </x:c>
      <x:c r="F73" s="14" t="str">
        <x:v>B2B</x:v>
      </x:c>
      <x:c r="G73" s="14" t="str">
        <x:v>West</x:v>
      </x:c>
      <x:c r="H73" s="14" t="n">
        <x:v>699942</x:v>
      </x:c>
      <x:c r="I73" s="14" t="n">
        <x:v>9882</x:v>
      </x:c>
      <x:c r="J73" s="14" t="n">
        <x:v>616</x:v>
      </x:c>
      <x:c r="K73" s="14" t="n">
        <x:v>78</x:v>
      </x:c>
      <x:c r="L73" s="15" t="n">
        <x:v>46522.94</x:v>
      </x:c>
      <x:c r="M73" s="15" t="n">
        <x:v>75315.82</x:v>
      </x:c>
    </x:row>
    <x:row r="74">
      <x:c r="A74" s="13" t="n">
        <x:v>45658</x:v>
      </x:c>
      <x:c r="B74" s="14" t="str">
        <x:v>CMP007</x:v>
      </x:c>
      <x:c r="C74" s="14" t="str">
        <x:v>PaidSocial_LeadGen_02</x:v>
      </x:c>
      <x:c r="D74" s="14" t="str">
        <x:v>Paid Social</x:v>
      </x:c>
      <x:c r="E74" s="14" t="str">
        <x:v>Lead Gen</x:v>
      </x:c>
      <x:c r="F74" s="14" t="str">
        <x:v>Mid-Market</x:v>
      </x:c>
      <x:c r="G74" s="14" t="str">
        <x:v>East</x:v>
      </x:c>
      <x:c r="H74" s="14" t="n">
        <x:v>556622</x:v>
      </x:c>
      <x:c r="I74" s="14" t="n">
        <x:v>8354</x:v>
      </x:c>
      <x:c r="J74" s="14" t="n">
        <x:v>426</x:v>
      </x:c>
      <x:c r="K74" s="14" t="n">
        <x:v>52</x:v>
      </x:c>
      <x:c r="L74" s="15" t="n">
        <x:v>31405.56</x:v>
      </x:c>
      <x:c r="M74" s="15" t="n">
        <x:v>39837.36</x:v>
      </x:c>
    </x:row>
    <x:row r="75">
      <x:c r="A75" s="13" t="n">
        <x:v>45689</x:v>
      </x:c>
      <x:c r="B75" s="14" t="str">
        <x:v>CMP007</x:v>
      </x:c>
      <x:c r="C75" s="14" t="str">
        <x:v>PaidSocial_LeadGen_02</x:v>
      </x:c>
      <x:c r="D75" s="14" t="str">
        <x:v>Paid Social</x:v>
      </x:c>
      <x:c r="E75" s="14" t="str">
        <x:v>Lead Gen</x:v>
      </x:c>
      <x:c r="F75" s="14" t="str">
        <x:v>Mid-Market</x:v>
      </x:c>
      <x:c r="G75" s="14" t="str">
        <x:v>East</x:v>
      </x:c>
      <x:c r="H75" s="14" t="n">
        <x:v>526160</x:v>
      </x:c>
      <x:c r="I75" s="14" t="n">
        <x:v>9154</x:v>
      </x:c>
      <x:c r="J75" s="14" t="n">
        <x:v>546</x:v>
      </x:c>
      <x:c r="K75" s="14" t="n">
        <x:v>59</x:v>
      </x:c>
      <x:c r="L75" s="15" t="n">
        <x:v>30906.1</x:v>
      </x:c>
      <x:c r="M75" s="15" t="n">
        <x:v>44011.35</x:v>
      </x:c>
    </x:row>
    <x:row r="76">
      <x:c r="A76" s="13" t="n">
        <x:v>45717</x:v>
      </x:c>
      <x:c r="B76" s="14" t="str">
        <x:v>CMP007</x:v>
      </x:c>
      <x:c r="C76" s="14" t="str">
        <x:v>PaidSocial_LeadGen_02</x:v>
      </x:c>
      <x:c r="D76" s="14" t="str">
        <x:v>Paid Social</x:v>
      </x:c>
      <x:c r="E76" s="14" t="str">
        <x:v>Lead Gen</x:v>
      </x:c>
      <x:c r="F76" s="14" t="str">
        <x:v>Mid-Market</x:v>
      </x:c>
      <x:c r="G76" s="14" t="str">
        <x:v>East</x:v>
      </x:c>
      <x:c r="H76" s="14" t="n">
        <x:v>606178</x:v>
      </x:c>
      <x:c r="I76" s="14" t="n">
        <x:v>8817</x:v>
      </x:c>
      <x:c r="J76" s="14" t="n">
        <x:v>476</x:v>
      </x:c>
      <x:c r="K76" s="14" t="n">
        <x:v>72</x:v>
      </x:c>
      <x:c r="L76" s="15" t="n">
        <x:v>37291.75</x:v>
      </x:c>
      <x:c r="M76" s="15" t="n">
        <x:v>55640.17</x:v>
      </x:c>
    </x:row>
    <x:row r="77">
      <x:c r="A77" s="13" t="n">
        <x:v>45748</x:v>
      </x:c>
      <x:c r="B77" s="14" t="str">
        <x:v>CMP007</x:v>
      </x:c>
      <x:c r="C77" s="14" t="str">
        <x:v>PaidSocial_LeadGen_02</x:v>
      </x:c>
      <x:c r="D77" s="14" t="str">
        <x:v>Paid Social</x:v>
      </x:c>
      <x:c r="E77" s="14" t="str">
        <x:v>Lead Gen</x:v>
      </x:c>
      <x:c r="F77" s="14" t="str">
        <x:v>Mid-Market</x:v>
      </x:c>
      <x:c r="G77" s="14" t="str">
        <x:v>East</x:v>
      </x:c>
      <x:c r="H77" s="14" t="n">
        <x:v>596435</x:v>
      </x:c>
      <x:c r="I77" s="14" t="n">
        <x:v>10627</x:v>
      </x:c>
      <x:c r="J77" s="14" t="n">
        <x:v>565</x:v>
      </x:c>
      <x:c r="K77" s="14" t="n">
        <x:v>59</x:v>
      </x:c>
      <x:c r="L77" s="15" t="n">
        <x:v>40655.64</x:v>
      </x:c>
      <x:c r="M77" s="15" t="n">
        <x:v>43510.57</x:v>
      </x:c>
    </x:row>
    <x:row r="78">
      <x:c r="A78" s="13" t="n">
        <x:v>45778</x:v>
      </x:c>
      <x:c r="B78" s="14" t="str">
        <x:v>CMP007</x:v>
      </x:c>
      <x:c r="C78" s="14" t="str">
        <x:v>PaidSocial_LeadGen_02</x:v>
      </x:c>
      <x:c r="D78" s="14" t="str">
        <x:v>Paid Social</x:v>
      </x:c>
      <x:c r="E78" s="14" t="str">
        <x:v>Lead Gen</x:v>
      </x:c>
      <x:c r="F78" s="14" t="str">
        <x:v>Mid-Market</x:v>
      </x:c>
      <x:c r="G78" s="14" t="str">
        <x:v>East</x:v>
      </x:c>
      <x:c r="H78" s="14" t="n">
        <x:v>595607</x:v>
      </x:c>
      <x:c r="I78" s="14" t="n">
        <x:v>11267</x:v>
      </x:c>
      <x:c r="J78" s="14" t="n">
        <x:v>608</x:v>
      </x:c>
      <x:c r="K78" s="14" t="n">
        <x:v>88</x:v>
      </x:c>
      <x:c r="L78" s="15" t="n">
        <x:v>40569.7</x:v>
      </x:c>
      <x:c r="M78" s="15" t="n">
        <x:v>67497.07</x:v>
      </x:c>
    </x:row>
    <x:row r="79">
      <x:c r="A79" s="13" t="n">
        <x:v>45809</x:v>
      </x:c>
      <x:c r="B79" s="14" t="str">
        <x:v>CMP007</x:v>
      </x:c>
      <x:c r="C79" s="14" t="str">
        <x:v>PaidSocial_LeadGen_02</x:v>
      </x:c>
      <x:c r="D79" s="14" t="str">
        <x:v>Paid Social</x:v>
      </x:c>
      <x:c r="E79" s="14" t="str">
        <x:v>Lead Gen</x:v>
      </x:c>
      <x:c r="F79" s="14" t="str">
        <x:v>Mid-Market</x:v>
      </x:c>
      <x:c r="G79" s="14" t="str">
        <x:v>East</x:v>
      </x:c>
      <x:c r="H79" s="14" t="n">
        <x:v>687740</x:v>
      </x:c>
      <x:c r="I79" s="14" t="n">
        <x:v>10055</x:v>
      </x:c>
      <x:c r="J79" s="14" t="n">
        <x:v>546</x:v>
      </x:c>
      <x:c r="K79" s="14" t="n">
        <x:v>58</x:v>
      </x:c>
      <x:c r="L79" s="15" t="n">
        <x:v>40286.02</x:v>
      </x:c>
      <x:c r="M79" s="15" t="n">
        <x:v>42635.32</x:v>
      </x:c>
    </x:row>
    <x:row r="80">
      <x:c r="A80" s="13" t="n">
        <x:v>45839</x:v>
      </x:c>
      <x:c r="B80" s="14" t="str">
        <x:v>CMP007</x:v>
      </x:c>
      <x:c r="C80" s="14" t="str">
        <x:v>PaidSocial_LeadGen_02</x:v>
      </x:c>
      <x:c r="D80" s="14" t="str">
        <x:v>Paid Social</x:v>
      </x:c>
      <x:c r="E80" s="14" t="str">
        <x:v>Lead Gen</x:v>
      </x:c>
      <x:c r="F80" s="14" t="str">
        <x:v>Mid-Market</x:v>
      </x:c>
      <x:c r="G80" s="14" t="str">
        <x:v>East</x:v>
      </x:c>
      <x:c r="H80" s="14" t="n">
        <x:v>634085</x:v>
      </x:c>
      <x:c r="I80" s="14" t="n">
        <x:v>9068</x:v>
      </x:c>
      <x:c r="J80" s="14" t="n">
        <x:v>498</x:v>
      </x:c>
      <x:c r="K80" s="14" t="n">
        <x:v>55</x:v>
      </x:c>
      <x:c r="L80" s="15" t="n">
        <x:v>38899.11</x:v>
      </x:c>
      <x:c r="M80" s="15" t="n">
        <x:v>42822.07</x:v>
      </x:c>
    </x:row>
    <x:row r="81">
      <x:c r="A81" s="13" t="n">
        <x:v>45870</x:v>
      </x:c>
      <x:c r="B81" s="14" t="str">
        <x:v>CMP007</x:v>
      </x:c>
      <x:c r="C81" s="14" t="str">
        <x:v>PaidSocial_LeadGen_02</x:v>
      </x:c>
      <x:c r="D81" s="14" t="str">
        <x:v>Paid Social</x:v>
      </x:c>
      <x:c r="E81" s="14" t="str">
        <x:v>Lead Gen</x:v>
      </x:c>
      <x:c r="F81" s="14" t="str">
        <x:v>Mid-Market</x:v>
      </x:c>
      <x:c r="G81" s="14" t="str">
        <x:v>East</x:v>
      </x:c>
      <x:c r="H81" s="14" t="n">
        <x:v>489810</x:v>
      </x:c>
      <x:c r="I81" s="14" t="n">
        <x:v>8150</x:v>
      </x:c>
      <x:c r="J81" s="14" t="n">
        <x:v>376</x:v>
      </x:c>
      <x:c r="K81" s="14" t="n">
        <x:v>52</x:v>
      </x:c>
      <x:c r="L81" s="15" t="n">
        <x:v>29972.31</x:v>
      </x:c>
      <x:c r="M81" s="15" t="n">
        <x:v>36640.57</x:v>
      </x:c>
    </x:row>
    <x:row r="82">
      <x:c r="A82" s="13" t="n">
        <x:v>45901</x:v>
      </x:c>
      <x:c r="B82" s="14" t="str">
        <x:v>CMP007</x:v>
      </x:c>
      <x:c r="C82" s="14" t="str">
        <x:v>PaidSocial_LeadGen_02</x:v>
      </x:c>
      <x:c r="D82" s="14" t="str">
        <x:v>Paid Social</x:v>
      </x:c>
      <x:c r="E82" s="14" t="str">
        <x:v>Lead Gen</x:v>
      </x:c>
      <x:c r="F82" s="14" t="str">
        <x:v>Mid-Market</x:v>
      </x:c>
      <x:c r="G82" s="14" t="str">
        <x:v>East</x:v>
      </x:c>
      <x:c r="H82" s="14" t="n">
        <x:v>668241</x:v>
      </x:c>
      <x:c r="I82" s="14" t="n">
        <x:v>10394</x:v>
      </x:c>
      <x:c r="J82" s="14" t="n">
        <x:v>517</x:v>
      </x:c>
      <x:c r="K82" s="14" t="n">
        <x:v>63</x:v>
      </x:c>
      <x:c r="L82" s="15" t="n">
        <x:v>37429.36</x:v>
      </x:c>
      <x:c r="M82" s="15" t="n">
        <x:v>50381.54</x:v>
      </x:c>
    </x:row>
    <x:row r="83">
      <x:c r="A83" s="13" t="n">
        <x:v>45931</x:v>
      </x:c>
      <x:c r="B83" s="14" t="str">
        <x:v>CMP007</x:v>
      </x:c>
      <x:c r="C83" s="14" t="str">
        <x:v>PaidSocial_LeadGen_02</x:v>
      </x:c>
      <x:c r="D83" s="14" t="str">
        <x:v>Paid Social</x:v>
      </x:c>
      <x:c r="E83" s="14" t="str">
        <x:v>Lead Gen</x:v>
      </x:c>
      <x:c r="F83" s="14" t="str">
        <x:v>Mid-Market</x:v>
      </x:c>
      <x:c r="G83" s="14" t="str">
        <x:v>East</x:v>
      </x:c>
      <x:c r="H83" s="14" t="n">
        <x:v>568327</x:v>
      </x:c>
      <x:c r="I83" s="14" t="n">
        <x:v>10347</x:v>
      </x:c>
      <x:c r="J83" s="14" t="n">
        <x:v>523</x:v>
      </x:c>
      <x:c r="K83" s="14" t="n">
        <x:v>57</x:v>
      </x:c>
      <x:c r="L83" s="15" t="n">
        <x:v>37842.77</x:v>
      </x:c>
      <x:c r="M83" s="15" t="n">
        <x:v>39155.94</x:v>
      </x:c>
    </x:row>
    <x:row r="84">
      <x:c r="A84" s="13" t="n">
        <x:v>45962</x:v>
      </x:c>
      <x:c r="B84" s="14" t="str">
        <x:v>CMP007</x:v>
      </x:c>
      <x:c r="C84" s="14" t="str">
        <x:v>PaidSocial_LeadGen_02</x:v>
      </x:c>
      <x:c r="D84" s="14" t="str">
        <x:v>Paid Social</x:v>
      </x:c>
      <x:c r="E84" s="14" t="str">
        <x:v>Lead Gen</x:v>
      </x:c>
      <x:c r="F84" s="14" t="str">
        <x:v>Mid-Market</x:v>
      </x:c>
      <x:c r="G84" s="14" t="str">
        <x:v>East</x:v>
      </x:c>
      <x:c r="H84" s="14" t="n">
        <x:v>609231</x:v>
      </x:c>
      <x:c r="I84" s="14" t="n">
        <x:v>9372</x:v>
      </x:c>
      <x:c r="J84" s="14" t="n">
        <x:v>549</x:v>
      </x:c>
      <x:c r="K84" s="14" t="n">
        <x:v>80</x:v>
      </x:c>
      <x:c r="L84" s="15" t="n">
        <x:v>42842.3</x:v>
      </x:c>
      <x:c r="M84" s="15" t="n">
        <x:v>62645.34</x:v>
      </x:c>
    </x:row>
    <x:row r="85">
      <x:c r="A85" s="13" t="n">
        <x:v>45992</x:v>
      </x:c>
      <x:c r="B85" s="14" t="str">
        <x:v>CMP007</x:v>
      </x:c>
      <x:c r="C85" s="14" t="str">
        <x:v>PaidSocial_LeadGen_02</x:v>
      </x:c>
      <x:c r="D85" s="14" t="str">
        <x:v>Paid Social</x:v>
      </x:c>
      <x:c r="E85" s="14" t="str">
        <x:v>Lead Gen</x:v>
      </x:c>
      <x:c r="F85" s="14" t="str">
        <x:v>Mid-Market</x:v>
      </x:c>
      <x:c r="G85" s="14" t="str">
        <x:v>East</x:v>
      </x:c>
      <x:c r="H85" s="14" t="n">
        <x:v>686271</x:v>
      </x:c>
      <x:c r="I85" s="14" t="n">
        <x:v>9952</x:v>
      </x:c>
      <x:c r="J85" s="14" t="n">
        <x:v>457</x:v>
      </x:c>
      <x:c r="K85" s="14" t="n">
        <x:v>51</x:v>
      </x:c>
      <x:c r="L85" s="15" t="n">
        <x:v>47739.77</x:v>
      </x:c>
      <x:c r="M85" s="15" t="n">
        <x:v>35862.46</x:v>
      </x:c>
    </x:row>
    <x:row r="86">
      <x:c r="A86" s="13" t="n">
        <x:v>45658</x:v>
      </x:c>
      <x:c r="B86" s="14" t="str">
        <x:v>CMP008</x:v>
      </x:c>
      <x:c r="C86" s="14" t="str">
        <x:v>PaidSocial_LeadGen_03</x:v>
      </x:c>
      <x:c r="D86" s="14" t="str">
        <x:v>Paid Social</x:v>
      </x:c>
      <x:c r="E86" s="14" t="str">
        <x:v>Lead Gen</x:v>
      </x:c>
      <x:c r="F86" s="14" t="str">
        <x:v>B2B</x:v>
      </x:c>
      <x:c r="G86" s="14" t="str">
        <x:v>South</x:v>
      </x:c>
      <x:c r="H86" s="14" t="n">
        <x:v>423655</x:v>
      </x:c>
      <x:c r="I86" s="14" t="n">
        <x:v>7050</x:v>
      </x:c>
      <x:c r="J86" s="14" t="n">
        <x:v>453</x:v>
      </x:c>
      <x:c r="K86" s="14" t="n">
        <x:v>64</x:v>
      </x:c>
      <x:c r="L86" s="15" t="n">
        <x:v>28354.95</x:v>
      </x:c>
      <x:c r="M86" s="15" t="n">
        <x:v>55449.75</x:v>
      </x:c>
    </x:row>
    <x:row r="87">
      <x:c r="A87" s="13" t="n">
        <x:v>45689</x:v>
      </x:c>
      <x:c r="B87" s="14" t="str">
        <x:v>CMP008</x:v>
      </x:c>
      <x:c r="C87" s="14" t="str">
        <x:v>PaidSocial_LeadGen_03</x:v>
      </x:c>
      <x:c r="D87" s="14" t="str">
        <x:v>Paid Social</x:v>
      </x:c>
      <x:c r="E87" s="14" t="str">
        <x:v>Lead Gen</x:v>
      </x:c>
      <x:c r="F87" s="14" t="str">
        <x:v>B2B</x:v>
      </x:c>
      <x:c r="G87" s="14" t="str">
        <x:v>South</x:v>
      </x:c>
      <x:c r="H87" s="14" t="n">
        <x:v>429587</x:v>
      </x:c>
      <x:c r="I87" s="14" t="n">
        <x:v>7081</x:v>
      </x:c>
      <x:c r="J87" s="14" t="n">
        <x:v>450</x:v>
      </x:c>
      <x:c r="K87" s="14" t="n">
        <x:v>60</x:v>
      </x:c>
      <x:c r="L87" s="15" t="n">
        <x:v>28339.8</x:v>
      </x:c>
      <x:c r="M87" s="15" t="n">
        <x:v>53266.89</x:v>
      </x:c>
    </x:row>
    <x:row r="88">
      <x:c r="A88" s="13" t="n">
        <x:v>45717</x:v>
      </x:c>
      <x:c r="B88" s="14" t="str">
        <x:v>CMP008</x:v>
      </x:c>
      <x:c r="C88" s="14" t="str">
        <x:v>PaidSocial_LeadGen_03</x:v>
      </x:c>
      <x:c r="D88" s="14" t="str">
        <x:v>Paid Social</x:v>
      </x:c>
      <x:c r="E88" s="14" t="str">
        <x:v>Lead Gen</x:v>
      </x:c>
      <x:c r="F88" s="14" t="str">
        <x:v>B2B</x:v>
      </x:c>
      <x:c r="G88" s="14" t="str">
        <x:v>South</x:v>
      </x:c>
      <x:c r="H88" s="14" t="n">
        <x:v>419942</x:v>
      </x:c>
      <x:c r="I88" s="14" t="n">
        <x:v>6000</x:v>
      </x:c>
      <x:c r="J88" s="14" t="n">
        <x:v>341</x:v>
      </x:c>
      <x:c r="K88" s="14" t="n">
        <x:v>50</x:v>
      </x:c>
      <x:c r="L88" s="15" t="n">
        <x:v>32094.22</x:v>
      </x:c>
      <x:c r="M88" s="15" t="n">
        <x:v>38929.31</x:v>
      </x:c>
    </x:row>
    <x:row r="89">
      <x:c r="A89" s="13" t="n">
        <x:v>45748</x:v>
      </x:c>
      <x:c r="B89" s="14" t="str">
        <x:v>CMP008</x:v>
      </x:c>
      <x:c r="C89" s="14" t="str">
        <x:v>PaidSocial_LeadGen_03</x:v>
      </x:c>
      <x:c r="D89" s="14" t="str">
        <x:v>Paid Social</x:v>
      </x:c>
      <x:c r="E89" s="14" t="str">
        <x:v>Lead Gen</x:v>
      </x:c>
      <x:c r="F89" s="14" t="str">
        <x:v>B2B</x:v>
      </x:c>
      <x:c r="G89" s="14" t="str">
        <x:v>South</x:v>
      </x:c>
      <x:c r="H89" s="14" t="n">
        <x:v>561575</x:v>
      </x:c>
      <x:c r="I89" s="14" t="n">
        <x:v>9599</x:v>
      </x:c>
      <x:c r="J89" s="14" t="n">
        <x:v>586</x:v>
      </x:c>
      <x:c r="K89" s="14" t="n">
        <x:v>85</x:v>
      </x:c>
      <x:c r="L89" s="15" t="n">
        <x:v>36958.92</x:v>
      </x:c>
      <x:c r="M89" s="15" t="n">
        <x:v>70688</x:v>
      </x:c>
    </x:row>
    <x:row r="90">
      <x:c r="A90" s="13" t="n">
        <x:v>45778</x:v>
      </x:c>
      <x:c r="B90" s="14" t="str">
        <x:v>CMP008</x:v>
      </x:c>
      <x:c r="C90" s="14" t="str">
        <x:v>PaidSocial_LeadGen_03</x:v>
      </x:c>
      <x:c r="D90" s="14" t="str">
        <x:v>Paid Social</x:v>
      </x:c>
      <x:c r="E90" s="14" t="str">
        <x:v>Lead Gen</x:v>
      </x:c>
      <x:c r="F90" s="14" t="str">
        <x:v>B2B</x:v>
      </x:c>
      <x:c r="G90" s="14" t="str">
        <x:v>South</x:v>
      </x:c>
      <x:c r="H90" s="14" t="n">
        <x:v>417668</x:v>
      </x:c>
      <x:c r="I90" s="14" t="n">
        <x:v>7084</x:v>
      </x:c>
      <x:c r="J90" s="14" t="n">
        <x:v>329</x:v>
      </x:c>
      <x:c r="K90" s="14" t="n">
        <x:v>45</x:v>
      </x:c>
      <x:c r="L90" s="15" t="n">
        <x:v>29089.26</x:v>
      </x:c>
      <x:c r="M90" s="15" t="n">
        <x:v>33335.86</x:v>
      </x:c>
    </x:row>
    <x:row r="91">
      <x:c r="A91" s="13" t="n">
        <x:v>45809</x:v>
      </x:c>
      <x:c r="B91" s="14" t="str">
        <x:v>CMP008</x:v>
      </x:c>
      <x:c r="C91" s="14" t="str">
        <x:v>PaidSocial_LeadGen_03</x:v>
      </x:c>
      <x:c r="D91" s="14" t="str">
        <x:v>Paid Social</x:v>
      </x:c>
      <x:c r="E91" s="14" t="str">
        <x:v>Lead Gen</x:v>
      </x:c>
      <x:c r="F91" s="14" t="str">
        <x:v>B2B</x:v>
      </x:c>
      <x:c r="G91" s="14" t="str">
        <x:v>South</x:v>
      </x:c>
      <x:c r="H91" s="14" t="n">
        <x:v>500822</x:v>
      </x:c>
      <x:c r="I91" s="14" t="n">
        <x:v>7836</x:v>
      </x:c>
      <x:c r="J91" s="14" t="n">
        <x:v>410</x:v>
      </x:c>
      <x:c r="K91" s="14" t="n">
        <x:v>61</x:v>
      </x:c>
      <x:c r="L91" s="15" t="n">
        <x:v>34527.3</x:v>
      </x:c>
      <x:c r="M91" s="15" t="n">
        <x:v>49665.64</x:v>
      </x:c>
    </x:row>
    <x:row r="92">
      <x:c r="A92" s="13" t="n">
        <x:v>45839</x:v>
      </x:c>
      <x:c r="B92" s="14" t="str">
        <x:v>CMP008</x:v>
      </x:c>
      <x:c r="C92" s="14" t="str">
        <x:v>PaidSocial_LeadGen_03</x:v>
      </x:c>
      <x:c r="D92" s="14" t="str">
        <x:v>Paid Social</x:v>
      </x:c>
      <x:c r="E92" s="14" t="str">
        <x:v>Lead Gen</x:v>
      </x:c>
      <x:c r="F92" s="14" t="str">
        <x:v>B2B</x:v>
      </x:c>
      <x:c r="G92" s="14" t="str">
        <x:v>South</x:v>
      </x:c>
      <x:c r="H92" s="14" t="n">
        <x:v>466263</x:v>
      </x:c>
      <x:c r="I92" s="14" t="n">
        <x:v>7533</x:v>
      </x:c>
      <x:c r="J92" s="14" t="n">
        <x:v>437</x:v>
      </x:c>
      <x:c r="K92" s="14" t="n">
        <x:v>59</x:v>
      </x:c>
      <x:c r="L92" s="15" t="n">
        <x:v>29716.11</x:v>
      </x:c>
      <x:c r="M92" s="15" t="n">
        <x:v>52491.38</x:v>
      </x:c>
    </x:row>
    <x:row r="93">
      <x:c r="A93" s="13" t="n">
        <x:v>45870</x:v>
      </x:c>
      <x:c r="B93" s="14" t="str">
        <x:v>CMP008</x:v>
      </x:c>
      <x:c r="C93" s="14" t="str">
        <x:v>PaidSocial_LeadGen_03</x:v>
      </x:c>
      <x:c r="D93" s="14" t="str">
        <x:v>Paid Social</x:v>
      </x:c>
      <x:c r="E93" s="14" t="str">
        <x:v>Lead Gen</x:v>
      </x:c>
      <x:c r="F93" s="14" t="str">
        <x:v>B2B</x:v>
      </x:c>
      <x:c r="G93" s="14" t="str">
        <x:v>South</x:v>
      </x:c>
      <x:c r="H93" s="14" t="n">
        <x:v>509496</x:v>
      </x:c>
      <x:c r="I93" s="14" t="n">
        <x:v>9125</x:v>
      </x:c>
      <x:c r="J93" s="14" t="n">
        <x:v>519</x:v>
      </x:c>
      <x:c r="K93" s="14" t="n">
        <x:v>62</x:v>
      </x:c>
      <x:c r="L93" s="15" t="n">
        <x:v>34911.25</x:v>
      </x:c>
      <x:c r="M93" s="15" t="n">
        <x:v>48299.27</x:v>
      </x:c>
    </x:row>
    <x:row r="94">
      <x:c r="A94" s="13" t="n">
        <x:v>45901</x:v>
      </x:c>
      <x:c r="B94" s="14" t="str">
        <x:v>CMP008</x:v>
      </x:c>
      <x:c r="C94" s="14" t="str">
        <x:v>PaidSocial_LeadGen_03</x:v>
      </x:c>
      <x:c r="D94" s="14" t="str">
        <x:v>Paid Social</x:v>
      </x:c>
      <x:c r="E94" s="14" t="str">
        <x:v>Lead Gen</x:v>
      </x:c>
      <x:c r="F94" s="14" t="str">
        <x:v>B2B</x:v>
      </x:c>
      <x:c r="G94" s="14" t="str">
        <x:v>South</x:v>
      </x:c>
      <x:c r="H94" s="14" t="n">
        <x:v>599345</x:v>
      </x:c>
      <x:c r="I94" s="14" t="n">
        <x:v>9437</x:v>
      </x:c>
      <x:c r="J94" s="14" t="n">
        <x:v>566</x:v>
      </x:c>
      <x:c r="K94" s="14" t="n">
        <x:v>75</x:v>
      </x:c>
      <x:c r="L94" s="15" t="n">
        <x:v>39219.51</x:v>
      </x:c>
      <x:c r="M94" s="15" t="n">
        <x:v>63630.74</x:v>
      </x:c>
    </x:row>
    <x:row r="95">
      <x:c r="A95" s="13" t="n">
        <x:v>45931</x:v>
      </x:c>
      <x:c r="B95" s="14" t="str">
        <x:v>CMP008</x:v>
      </x:c>
      <x:c r="C95" s="14" t="str">
        <x:v>PaidSocial_LeadGen_03</x:v>
      </x:c>
      <x:c r="D95" s="14" t="str">
        <x:v>Paid Social</x:v>
      </x:c>
      <x:c r="E95" s="14" t="str">
        <x:v>Lead Gen</x:v>
      </x:c>
      <x:c r="F95" s="14" t="str">
        <x:v>B2B</x:v>
      </x:c>
      <x:c r="G95" s="14" t="str">
        <x:v>South</x:v>
      </x:c>
      <x:c r="H95" s="14" t="n">
        <x:v>491172</x:v>
      </x:c>
      <x:c r="I95" s="14" t="n">
        <x:v>7377</x:v>
      </x:c>
      <x:c r="J95" s="14" t="n">
        <x:v>404</x:v>
      </x:c>
      <x:c r="K95" s="14" t="n">
        <x:v>49</x:v>
      </x:c>
      <x:c r="L95" s="15" t="n">
        <x:v>33895.45</x:v>
      </x:c>
      <x:c r="M95" s="15" t="n">
        <x:v>38275.43</x:v>
      </x:c>
    </x:row>
    <x:row r="96">
      <x:c r="A96" s="13" t="n">
        <x:v>45962</x:v>
      </x:c>
      <x:c r="B96" s="14" t="str">
        <x:v>CMP008</x:v>
      </x:c>
      <x:c r="C96" s="14" t="str">
        <x:v>PaidSocial_LeadGen_03</x:v>
      </x:c>
      <x:c r="D96" s="14" t="str">
        <x:v>Paid Social</x:v>
      </x:c>
      <x:c r="E96" s="14" t="str">
        <x:v>Lead Gen</x:v>
      </x:c>
      <x:c r="F96" s="14" t="str">
        <x:v>B2B</x:v>
      </x:c>
      <x:c r="G96" s="14" t="str">
        <x:v>South</x:v>
      </x:c>
      <x:c r="H96" s="14" t="n">
        <x:v>505411</x:v>
      </x:c>
      <x:c r="I96" s="14" t="n">
        <x:v>9210</x:v>
      </x:c>
      <x:c r="J96" s="14" t="n">
        <x:v>517</x:v>
      </x:c>
      <x:c r="K96" s="14" t="n">
        <x:v>67</x:v>
      </x:c>
      <x:c r="L96" s="15" t="n">
        <x:v>35731.73</x:v>
      </x:c>
      <x:c r="M96" s="15" t="n">
        <x:v>51595.62</x:v>
      </x:c>
    </x:row>
    <x:row r="97">
      <x:c r="A97" s="13" t="n">
        <x:v>45992</x:v>
      </x:c>
      <x:c r="B97" s="14" t="str">
        <x:v>CMP008</x:v>
      </x:c>
      <x:c r="C97" s="14" t="str">
        <x:v>PaidSocial_LeadGen_03</x:v>
      </x:c>
      <x:c r="D97" s="14" t="str">
        <x:v>Paid Social</x:v>
      </x:c>
      <x:c r="E97" s="14" t="str">
        <x:v>Lead Gen</x:v>
      </x:c>
      <x:c r="F97" s="14" t="str">
        <x:v>B2B</x:v>
      </x:c>
      <x:c r="G97" s="14" t="str">
        <x:v>South</x:v>
      </x:c>
      <x:c r="H97" s="14" t="n">
        <x:v>544673</x:v>
      </x:c>
      <x:c r="I97" s="14" t="n">
        <x:v>8905</x:v>
      </x:c>
      <x:c r="J97" s="14" t="n">
        <x:v>444</x:v>
      </x:c>
      <x:c r="K97" s="14" t="n">
        <x:v>57</x:v>
      </x:c>
      <x:c r="L97" s="15" t="n">
        <x:v>36793.62</x:v>
      </x:c>
      <x:c r="M97" s="15" t="n">
        <x:v>48767.83</x:v>
      </x:c>
    </x:row>
    <x:row r="98">
      <x:c r="A98" s="13" t="n">
        <x:v>45658</x:v>
      </x:c>
      <x:c r="B98" s="14" t="str">
        <x:v>CMP009</x:v>
      </x:c>
      <x:c r="C98" s="14" t="str">
        <x:v>PaidSocial_Retargeting_04</x:v>
      </x:c>
      <x:c r="D98" s="14" t="str">
        <x:v>Paid Social</x:v>
      </x:c>
      <x:c r="E98" s="14" t="str">
        <x:v>Retargeting</x:v>
      </x:c>
      <x:c r="F98" s="14" t="str">
        <x:v>B2B</x:v>
      </x:c>
      <x:c r="G98" s="14" t="str">
        <x:v>North</x:v>
      </x:c>
      <x:c r="H98" s="14" t="n">
        <x:v>367262</x:v>
      </x:c>
      <x:c r="I98" s="14" t="n">
        <x:v>6130</x:v>
      </x:c>
      <x:c r="J98" s="14" t="n">
        <x:v>318</x:v>
      </x:c>
      <x:c r="K98" s="14" t="n">
        <x:v>41</x:v>
      </x:c>
      <x:c r="L98" s="15" t="n">
        <x:v>26646.11</x:v>
      </x:c>
      <x:c r="M98" s="15" t="n">
        <x:v>36513.34</x:v>
      </x:c>
    </x:row>
    <x:row r="99">
      <x:c r="A99" s="13" t="n">
        <x:v>45689</x:v>
      </x:c>
      <x:c r="B99" s="14" t="str">
        <x:v>CMP009</x:v>
      </x:c>
      <x:c r="C99" s="14" t="str">
        <x:v>PaidSocial_Retargeting_04</x:v>
      </x:c>
      <x:c r="D99" s="14" t="str">
        <x:v>Paid Social</x:v>
      </x:c>
      <x:c r="E99" s="14" t="str">
        <x:v>Retargeting</x:v>
      </x:c>
      <x:c r="F99" s="14" t="str">
        <x:v>B2B</x:v>
      </x:c>
      <x:c r="G99" s="14" t="str">
        <x:v>North</x:v>
      </x:c>
      <x:c r="H99" s="14" t="n">
        <x:v>420362</x:v>
      </x:c>
      <x:c r="I99" s="14" t="n">
        <x:v>6272</x:v>
      </x:c>
      <x:c r="J99" s="14" t="n">
        <x:v>335</x:v>
      </x:c>
      <x:c r="K99" s="14" t="n">
        <x:v>39</x:v>
      </x:c>
      <x:c r="L99" s="15" t="n">
        <x:v>32894.03</x:v>
      </x:c>
      <x:c r="M99" s="15" t="n">
        <x:v>33920.36</x:v>
      </x:c>
    </x:row>
    <x:row r="100">
      <x:c r="A100" s="13" t="n">
        <x:v>45717</x:v>
      </x:c>
      <x:c r="B100" s="14" t="str">
        <x:v>CMP009</x:v>
      </x:c>
      <x:c r="C100" s="14" t="str">
        <x:v>PaidSocial_Retargeting_04</x:v>
      </x:c>
      <x:c r="D100" s="14" t="str">
        <x:v>Paid Social</x:v>
      </x:c>
      <x:c r="E100" s="14" t="str">
        <x:v>Retargeting</x:v>
      </x:c>
      <x:c r="F100" s="14" t="str">
        <x:v>B2B</x:v>
      </x:c>
      <x:c r="G100" s="14" t="str">
        <x:v>North</x:v>
      </x:c>
      <x:c r="H100" s="14" t="n">
        <x:v>432955</x:v>
      </x:c>
      <x:c r="I100" s="14" t="n">
        <x:v>7421</x:v>
      </x:c>
      <x:c r="J100" s="14" t="n">
        <x:v>469</x:v>
      </x:c>
      <x:c r="K100" s="14" t="n">
        <x:v>64</x:v>
      </x:c>
      <x:c r="L100" s="15" t="n">
        <x:v>31992.79</x:v>
      </x:c>
      <x:c r="M100" s="15" t="n">
        <x:v>55205.31</x:v>
      </x:c>
    </x:row>
    <x:row r="101">
      <x:c r="A101" s="13" t="n">
        <x:v>45748</x:v>
      </x:c>
      <x:c r="B101" s="14" t="str">
        <x:v>CMP009</x:v>
      </x:c>
      <x:c r="C101" s="14" t="str">
        <x:v>PaidSocial_Retargeting_04</x:v>
      </x:c>
      <x:c r="D101" s="14" t="str">
        <x:v>Paid Social</x:v>
      </x:c>
      <x:c r="E101" s="14" t="str">
        <x:v>Retargeting</x:v>
      </x:c>
      <x:c r="F101" s="14" t="str">
        <x:v>B2B</x:v>
      </x:c>
      <x:c r="G101" s="14" t="str">
        <x:v>North</x:v>
      </x:c>
      <x:c r="H101" s="14" t="n">
        <x:v>457086</x:v>
      </x:c>
      <x:c r="I101" s="14" t="n">
        <x:v>7437</x:v>
      </x:c>
      <x:c r="J101" s="14" t="n">
        <x:v>442</x:v>
      </x:c>
      <x:c r="K101" s="14" t="n">
        <x:v>58</x:v>
      </x:c>
      <x:c r="L101" s="15" t="n">
        <x:v>33444.72</x:v>
      </x:c>
      <x:c r="M101" s="15" t="n">
        <x:v>58443.25</x:v>
      </x:c>
    </x:row>
    <x:row r="102">
      <x:c r="A102" s="13" t="n">
        <x:v>45778</x:v>
      </x:c>
      <x:c r="B102" s="14" t="str">
        <x:v>CMP009</x:v>
      </x:c>
      <x:c r="C102" s="14" t="str">
        <x:v>PaidSocial_Retargeting_04</x:v>
      </x:c>
      <x:c r="D102" s="14" t="str">
        <x:v>Paid Social</x:v>
      </x:c>
      <x:c r="E102" s="14" t="str">
        <x:v>Retargeting</x:v>
      </x:c>
      <x:c r="F102" s="14" t="str">
        <x:v>B2B</x:v>
      </x:c>
      <x:c r="G102" s="14" t="str">
        <x:v>North</x:v>
      </x:c>
      <x:c r="H102" s="14" t="n">
        <x:v>458531</x:v>
      </x:c>
      <x:c r="I102" s="14" t="n">
        <x:v>6865</x:v>
      </x:c>
      <x:c r="J102" s="14" t="n">
        <x:v>347</x:v>
      </x:c>
      <x:c r="K102" s="14" t="n">
        <x:v>48</x:v>
      </x:c>
      <x:c r="L102" s="15" t="n">
        <x:v>33718.46</x:v>
      </x:c>
      <x:c r="M102" s="15" t="n">
        <x:v>40830.71</x:v>
      </x:c>
    </x:row>
    <x:row r="103">
      <x:c r="A103" s="13" t="n">
        <x:v>45809</x:v>
      </x:c>
      <x:c r="B103" s="14" t="str">
        <x:v>CMP009</x:v>
      </x:c>
      <x:c r="C103" s="14" t="str">
        <x:v>PaidSocial_Retargeting_04</x:v>
      </x:c>
      <x:c r="D103" s="14" t="str">
        <x:v>Paid Social</x:v>
      </x:c>
      <x:c r="E103" s="14" t="str">
        <x:v>Retargeting</x:v>
      </x:c>
      <x:c r="F103" s="14" t="str">
        <x:v>B2B</x:v>
      </x:c>
      <x:c r="G103" s="14" t="str">
        <x:v>North</x:v>
      </x:c>
      <x:c r="H103" s="14" t="n">
        <x:v>391944</x:v>
      </x:c>
      <x:c r="I103" s="14" t="n">
        <x:v>5715</x:v>
      </x:c>
      <x:c r="J103" s="14" t="n">
        <x:v>360</x:v>
      </x:c>
      <x:c r="K103" s="14" t="n">
        <x:v>48</x:v>
      </x:c>
      <x:c r="L103" s="15" t="n">
        <x:v>27063.89</x:v>
      </x:c>
      <x:c r="M103" s="15" t="n">
        <x:v>46357.16</x:v>
      </x:c>
    </x:row>
    <x:row r="104">
      <x:c r="A104" s="13" t="n">
        <x:v>45839</x:v>
      </x:c>
      <x:c r="B104" s="14" t="str">
        <x:v>CMP009</x:v>
      </x:c>
      <x:c r="C104" s="14" t="str">
        <x:v>PaidSocial_Retargeting_04</x:v>
      </x:c>
      <x:c r="D104" s="14" t="str">
        <x:v>Paid Social</x:v>
      </x:c>
      <x:c r="E104" s="14" t="str">
        <x:v>Retargeting</x:v>
      </x:c>
      <x:c r="F104" s="14" t="str">
        <x:v>B2B</x:v>
      </x:c>
      <x:c r="G104" s="14" t="str">
        <x:v>North</x:v>
      </x:c>
      <x:c r="H104" s="14" t="n">
        <x:v>381999</x:v>
      </x:c>
      <x:c r="I104" s="14" t="n">
        <x:v>5554</x:v>
      </x:c>
      <x:c r="J104" s="14" t="n">
        <x:v>300</x:v>
      </x:c>
      <x:c r="K104" s="14" t="n">
        <x:v>36</x:v>
      </x:c>
      <x:c r="L104" s="15" t="n">
        <x:v>26077.62</x:v>
      </x:c>
      <x:c r="M104" s="15" t="n">
        <x:v>36175.75</x:v>
      </x:c>
    </x:row>
    <x:row r="105">
      <x:c r="A105" s="13" t="n">
        <x:v>45870</x:v>
      </x:c>
      <x:c r="B105" s="14" t="str">
        <x:v>CMP009</x:v>
      </x:c>
      <x:c r="C105" s="14" t="str">
        <x:v>PaidSocial_Retargeting_04</x:v>
      </x:c>
      <x:c r="D105" s="14" t="str">
        <x:v>Paid Social</x:v>
      </x:c>
      <x:c r="E105" s="14" t="str">
        <x:v>Retargeting</x:v>
      </x:c>
      <x:c r="F105" s="14" t="str">
        <x:v>B2B</x:v>
      </x:c>
      <x:c r="G105" s="14" t="str">
        <x:v>North</x:v>
      </x:c>
      <x:c r="H105" s="14" t="n">
        <x:v>314300</x:v>
      </x:c>
      <x:c r="I105" s="14" t="n">
        <x:v>4266</x:v>
      </x:c>
      <x:c r="J105" s="14" t="n">
        <x:v>195</x:v>
      </x:c>
      <x:c r="K105" s="14" t="n">
        <x:v>24</x:v>
      </x:c>
      <x:c r="L105" s="15" t="n">
        <x:v>26410.25</x:v>
      </x:c>
      <x:c r="M105" s="15" t="n">
        <x:v>22402.97</x:v>
      </x:c>
    </x:row>
    <x:row r="106">
      <x:c r="A106" s="13" t="n">
        <x:v>45901</x:v>
      </x:c>
      <x:c r="B106" s="14" t="str">
        <x:v>CMP009</x:v>
      </x:c>
      <x:c r="C106" s="14" t="str">
        <x:v>PaidSocial_Retargeting_04</x:v>
      </x:c>
      <x:c r="D106" s="14" t="str">
        <x:v>Paid Social</x:v>
      </x:c>
      <x:c r="E106" s="14" t="str">
        <x:v>Retargeting</x:v>
      </x:c>
      <x:c r="F106" s="14" t="str">
        <x:v>B2B</x:v>
      </x:c>
      <x:c r="G106" s="14" t="str">
        <x:v>North</x:v>
      </x:c>
      <x:c r="H106" s="14" t="n">
        <x:v>460235</x:v>
      </x:c>
      <x:c r="I106" s="14" t="n">
        <x:v>8067</x:v>
      </x:c>
      <x:c r="J106" s="14" t="n">
        <x:v>510</x:v>
      </x:c>
      <x:c r="K106" s="14" t="n">
        <x:v>54</x:v>
      </x:c>
      <x:c r="L106" s="15" t="n">
        <x:v>32609.55</x:v>
      </x:c>
      <x:c r="M106" s="15" t="n">
        <x:v>47141.92</x:v>
      </x:c>
    </x:row>
    <x:row r="107">
      <x:c r="A107" s="13" t="n">
        <x:v>45931</x:v>
      </x:c>
      <x:c r="B107" s="14" t="str">
        <x:v>CMP009</x:v>
      </x:c>
      <x:c r="C107" s="14" t="str">
        <x:v>PaidSocial_Retargeting_04</x:v>
      </x:c>
      <x:c r="D107" s="14" t="str">
        <x:v>Paid Social</x:v>
      </x:c>
      <x:c r="E107" s="14" t="str">
        <x:v>Retargeting</x:v>
      </x:c>
      <x:c r="F107" s="14" t="str">
        <x:v>B2B</x:v>
      </x:c>
      <x:c r="G107" s="14" t="str">
        <x:v>North</x:v>
      </x:c>
      <x:c r="H107" s="14" t="n">
        <x:v>429806</x:v>
      </x:c>
      <x:c r="I107" s="14" t="n">
        <x:v>7009</x:v>
      </x:c>
      <x:c r="J107" s="14" t="n">
        <x:v>397</x:v>
      </x:c>
      <x:c r="K107" s="14" t="n">
        <x:v>56</x:v>
      </x:c>
      <x:c r="L107" s="15" t="n">
        <x:v>32562.64</x:v>
      </x:c>
      <x:c r="M107" s="15" t="n">
        <x:v>50248.93</x:v>
      </x:c>
    </x:row>
    <x:row r="108">
      <x:c r="A108" s="13" t="n">
        <x:v>45962</x:v>
      </x:c>
      <x:c r="B108" s="14" t="str">
        <x:v>CMP009</x:v>
      </x:c>
      <x:c r="C108" s="14" t="str">
        <x:v>PaidSocial_Retargeting_04</x:v>
      </x:c>
      <x:c r="D108" s="14" t="str">
        <x:v>Paid Social</x:v>
      </x:c>
      <x:c r="E108" s="14" t="str">
        <x:v>Retargeting</x:v>
      </x:c>
      <x:c r="F108" s="14" t="str">
        <x:v>B2B</x:v>
      </x:c>
      <x:c r="G108" s="14" t="str">
        <x:v>North</x:v>
      </x:c>
      <x:c r="H108" s="14" t="n">
        <x:v>528169</x:v>
      </x:c>
      <x:c r="I108" s="14" t="n">
        <x:v>8590</x:v>
      </x:c>
      <x:c r="J108" s="14" t="n">
        <x:v>455</x:v>
      </x:c>
      <x:c r="K108" s="14" t="n">
        <x:v>60</x:v>
      </x:c>
      <x:c r="L108" s="15" t="n">
        <x:v>38850.15</x:v>
      </x:c>
      <x:c r="M108" s="15" t="n">
        <x:v>50306.42</x:v>
      </x:c>
    </x:row>
    <x:row r="109">
      <x:c r="A109" s="13" t="n">
        <x:v>45992</x:v>
      </x:c>
      <x:c r="B109" s="14" t="str">
        <x:v>CMP009</x:v>
      </x:c>
      <x:c r="C109" s="14" t="str">
        <x:v>PaidSocial_Retargeting_04</x:v>
      </x:c>
      <x:c r="D109" s="14" t="str">
        <x:v>Paid Social</x:v>
      </x:c>
      <x:c r="E109" s="14" t="str">
        <x:v>Retargeting</x:v>
      </x:c>
      <x:c r="F109" s="14" t="str">
        <x:v>B2B</x:v>
      </x:c>
      <x:c r="G109" s="14" t="str">
        <x:v>North</x:v>
      </x:c>
      <x:c r="H109" s="14" t="n">
        <x:v>588599</x:v>
      </x:c>
      <x:c r="I109" s="14" t="n">
        <x:v>10155</x:v>
      </x:c>
      <x:c r="J109" s="14" t="n">
        <x:v>577</x:v>
      </x:c>
      <x:c r="K109" s="14" t="n">
        <x:v>67</x:v>
      </x:c>
      <x:c r="L109" s="15" t="n">
        <x:v>41131.34</x:v>
      </x:c>
      <x:c r="M109" s="15" t="n">
        <x:v>56433.66</x:v>
      </x:c>
    </x:row>
    <x:row r="110">
      <x:c r="A110" s="13" t="n">
        <x:v>45658</x:v>
      </x:c>
      <x:c r="B110" s="14" t="str">
        <x:v>CMP010</x:v>
      </x:c>
      <x:c r="C110" s="14" t="str">
        <x:v>PaidSocial_Acquisition_05</x:v>
      </x:c>
      <x:c r="D110" s="14" t="str">
        <x:v>Paid Social</x:v>
      </x:c>
      <x:c r="E110" s="14" t="str">
        <x:v>Acquisition</x:v>
      </x:c>
      <x:c r="F110" s="14" t="str">
        <x:v>SMB</x:v>
      </x:c>
      <x:c r="G110" s="14" t="str">
        <x:v>North</x:v>
      </x:c>
      <x:c r="H110" s="14" t="n">
        <x:v>269871</x:v>
      </x:c>
      <x:c r="I110" s="14" t="n">
        <x:v>4144</x:v>
      </x:c>
      <x:c r="J110" s="14" t="n">
        <x:v>185</x:v>
      </x:c>
      <x:c r="K110" s="14" t="n">
        <x:v>21</x:v>
      </x:c>
      <x:c r="L110" s="15" t="n">
        <x:v>24125.61</x:v>
      </x:c>
      <x:c r="M110" s="15" t="n">
        <x:v>15266.44</x:v>
      </x:c>
    </x:row>
    <x:row r="111">
      <x:c r="A111" s="13" t="n">
        <x:v>45689</x:v>
      </x:c>
      <x:c r="B111" s="14" t="str">
        <x:v>CMP010</x:v>
      </x:c>
      <x:c r="C111" s="14" t="str">
        <x:v>PaidSocial_Acquisition_05</x:v>
      </x:c>
      <x:c r="D111" s="14" t="str">
        <x:v>Paid Social</x:v>
      </x:c>
      <x:c r="E111" s="14" t="str">
        <x:v>Acquisition</x:v>
      </x:c>
      <x:c r="F111" s="14" t="str">
        <x:v>SMB</x:v>
      </x:c>
      <x:c r="G111" s="14" t="str">
        <x:v>North</x:v>
      </x:c>
      <x:c r="H111" s="14" t="n">
        <x:v>373052</x:v>
      </x:c>
      <x:c r="I111" s="14" t="n">
        <x:v>5236</x:v>
      </x:c>
      <x:c r="J111" s="14" t="n">
        <x:v>258</x:v>
      </x:c>
      <x:c r="K111" s="14" t="n">
        <x:v>36</x:v>
      </x:c>
      <x:c r="L111" s="15" t="n">
        <x:v>28616.81</x:v>
      </x:c>
      <x:c r="M111" s="15" t="n">
        <x:v>27851.33</x:v>
      </x:c>
    </x:row>
    <x:row r="112">
      <x:c r="A112" s="13" t="n">
        <x:v>45717</x:v>
      </x:c>
      <x:c r="B112" s="14" t="str">
        <x:v>CMP010</x:v>
      </x:c>
      <x:c r="C112" s="14" t="str">
        <x:v>PaidSocial_Acquisition_05</x:v>
      </x:c>
      <x:c r="D112" s="14" t="str">
        <x:v>Paid Social</x:v>
      </x:c>
      <x:c r="E112" s="14" t="str">
        <x:v>Acquisition</x:v>
      </x:c>
      <x:c r="F112" s="14" t="str">
        <x:v>SMB</x:v>
      </x:c>
      <x:c r="G112" s="14" t="str">
        <x:v>North</x:v>
      </x:c>
      <x:c r="H112" s="14" t="n">
        <x:v>373747</x:v>
      </x:c>
      <x:c r="I112" s="14" t="n">
        <x:v>4998</x:v>
      </x:c>
      <x:c r="J112" s="14" t="n">
        <x:v>242</x:v>
      </x:c>
      <x:c r="K112" s="14" t="n">
        <x:v>26</x:v>
      </x:c>
      <x:c r="L112" s="15" t="n">
        <x:v>29641.45</x:v>
      </x:c>
      <x:c r="M112" s="15" t="n">
        <x:v>18833.78</x:v>
      </x:c>
    </x:row>
    <x:row r="113">
      <x:c r="A113" s="13" t="n">
        <x:v>45748</x:v>
      </x:c>
      <x:c r="B113" s="14" t="str">
        <x:v>CMP010</x:v>
      </x:c>
      <x:c r="C113" s="14" t="str">
        <x:v>PaidSocial_Acquisition_05</x:v>
      </x:c>
      <x:c r="D113" s="14" t="str">
        <x:v>Paid Social</x:v>
      </x:c>
      <x:c r="E113" s="14" t="str">
        <x:v>Acquisition</x:v>
      </x:c>
      <x:c r="F113" s="14" t="str">
        <x:v>SMB</x:v>
      </x:c>
      <x:c r="G113" s="14" t="str">
        <x:v>North</x:v>
      </x:c>
      <x:c r="H113" s="14" t="n">
        <x:v>325323</x:v>
      </x:c>
      <x:c r="I113" s="14" t="n">
        <x:v>5583</x:v>
      </x:c>
      <x:c r="J113" s="14" t="n">
        <x:v>311</x:v>
      </x:c>
      <x:c r="K113" s="14" t="n">
        <x:v>44</x:v>
      </x:c>
      <x:c r="L113" s="15" t="n">
        <x:v>24878.46</x:v>
      </x:c>
      <x:c r="M113" s="15" t="n">
        <x:v>36256.94</x:v>
      </x:c>
    </x:row>
    <x:row r="114">
      <x:c r="A114" s="13" t="n">
        <x:v>45778</x:v>
      </x:c>
      <x:c r="B114" s="14" t="str">
        <x:v>CMP010</x:v>
      </x:c>
      <x:c r="C114" s="14" t="str">
        <x:v>PaidSocial_Acquisition_05</x:v>
      </x:c>
      <x:c r="D114" s="14" t="str">
        <x:v>Paid Social</x:v>
      </x:c>
      <x:c r="E114" s="14" t="str">
        <x:v>Acquisition</x:v>
      </x:c>
      <x:c r="F114" s="14" t="str">
        <x:v>SMB</x:v>
      </x:c>
      <x:c r="G114" s="14" t="str">
        <x:v>North</x:v>
      </x:c>
      <x:c r="H114" s="14" t="n">
        <x:v>318354</x:v>
      </x:c>
      <x:c r="I114" s="14" t="n">
        <x:v>4594</x:v>
      </x:c>
      <x:c r="J114" s="14" t="n">
        <x:v>238</x:v>
      </x:c>
      <x:c r="K114" s="14" t="n">
        <x:v>27</x:v>
      </x:c>
      <x:c r="L114" s="15" t="n">
        <x:v>27018.09</x:v>
      </x:c>
      <x:c r="M114" s="15" t="n">
        <x:v>20684.08</x:v>
      </x:c>
    </x:row>
    <x:row r="115">
      <x:c r="A115" s="13" t="n">
        <x:v>45809</x:v>
      </x:c>
      <x:c r="B115" s="14" t="str">
        <x:v>CMP010</x:v>
      </x:c>
      <x:c r="C115" s="14" t="str">
        <x:v>PaidSocial_Acquisition_05</x:v>
      </x:c>
      <x:c r="D115" s="14" t="str">
        <x:v>Paid Social</x:v>
      </x:c>
      <x:c r="E115" s="14" t="str">
        <x:v>Acquisition</x:v>
      </x:c>
      <x:c r="F115" s="14" t="str">
        <x:v>SMB</x:v>
      </x:c>
      <x:c r="G115" s="14" t="str">
        <x:v>North</x:v>
      </x:c>
      <x:c r="H115" s="14" t="n">
        <x:v>320659</x:v>
      </x:c>
      <x:c r="I115" s="14" t="n">
        <x:v>5676</x:v>
      </x:c>
      <x:c r="J115" s="14" t="n">
        <x:v>331</x:v>
      </x:c>
      <x:c r="K115" s="14" t="n">
        <x:v>43</x:v>
      </x:c>
      <x:c r="L115" s="15" t="n">
        <x:v>28064.84</x:v>
      </x:c>
      <x:c r="M115" s="15" t="n">
        <x:v>29581.05</x:v>
      </x:c>
    </x:row>
    <x:row r="116">
      <x:c r="A116" s="13" t="n">
        <x:v>45839</x:v>
      </x:c>
      <x:c r="B116" s="14" t="str">
        <x:v>CMP010</x:v>
      </x:c>
      <x:c r="C116" s="14" t="str">
        <x:v>PaidSocial_Acquisition_05</x:v>
      </x:c>
      <x:c r="D116" s="14" t="str">
        <x:v>Paid Social</x:v>
      </x:c>
      <x:c r="E116" s="14" t="str">
        <x:v>Acquisition</x:v>
      </x:c>
      <x:c r="F116" s="14" t="str">
        <x:v>SMB</x:v>
      </x:c>
      <x:c r="G116" s="14" t="str">
        <x:v>North</x:v>
      </x:c>
      <x:c r="H116" s="14" t="n">
        <x:v>276930</x:v>
      </x:c>
      <x:c r="I116" s="14" t="n">
        <x:v>4857</x:v>
      </x:c>
      <x:c r="J116" s="14" t="n">
        <x:v>270</x:v>
      </x:c>
      <x:c r="K116" s="14" t="n">
        <x:v>27</x:v>
      </x:c>
      <x:c r="L116" s="15" t="n">
        <x:v>24670.98</x:v>
      </x:c>
      <x:c r="M116" s="15" t="n">
        <x:v>21606.58</x:v>
      </x:c>
    </x:row>
    <x:row r="117">
      <x:c r="A117" s="13" t="n">
        <x:v>45870</x:v>
      </x:c>
      <x:c r="B117" s="14" t="str">
        <x:v>CMP010</x:v>
      </x:c>
      <x:c r="C117" s="14" t="str">
        <x:v>PaidSocial_Acquisition_05</x:v>
      </x:c>
      <x:c r="D117" s="14" t="str">
        <x:v>Paid Social</x:v>
      </x:c>
      <x:c r="E117" s="14" t="str">
        <x:v>Acquisition</x:v>
      </x:c>
      <x:c r="F117" s="14" t="str">
        <x:v>SMB</x:v>
      </x:c>
      <x:c r="G117" s="14" t="str">
        <x:v>North</x:v>
      </x:c>
      <x:c r="H117" s="14" t="n">
        <x:v>328465</x:v>
      </x:c>
      <x:c r="I117" s="14" t="n">
        <x:v>5583</x:v>
      </x:c>
      <x:c r="J117" s="14" t="n">
        <x:v>265</x:v>
      </x:c>
      <x:c r="K117" s="14" t="n">
        <x:v>33</x:v>
      </x:c>
      <x:c r="L117" s="15" t="n">
        <x:v>28601.15</x:v>
      </x:c>
      <x:c r="M117" s="15" t="n">
        <x:v>24790.22</x:v>
      </x:c>
    </x:row>
    <x:row r="118">
      <x:c r="A118" s="13" t="n">
        <x:v>45901</x:v>
      </x:c>
      <x:c r="B118" s="14" t="str">
        <x:v>CMP010</x:v>
      </x:c>
      <x:c r="C118" s="14" t="str">
        <x:v>PaidSocial_Acquisition_05</x:v>
      </x:c>
      <x:c r="D118" s="14" t="str">
        <x:v>Paid Social</x:v>
      </x:c>
      <x:c r="E118" s="14" t="str">
        <x:v>Acquisition</x:v>
      </x:c>
      <x:c r="F118" s="14" t="str">
        <x:v>SMB</x:v>
      </x:c>
      <x:c r="G118" s="14" t="str">
        <x:v>North</x:v>
      </x:c>
      <x:c r="H118" s="14" t="n">
        <x:v>270084</x:v>
      </x:c>
      <x:c r="I118" s="14" t="n">
        <x:v>4096</x:v>
      </x:c>
      <x:c r="J118" s="14" t="n">
        <x:v>245</x:v>
      </x:c>
      <x:c r="K118" s="14" t="n">
        <x:v>36</x:v>
      </x:c>
      <x:c r="L118" s="15" t="n">
        <x:v>25849.47</x:v>
      </x:c>
      <x:c r="M118" s="15" t="n">
        <x:v>27195.9</x:v>
      </x:c>
    </x:row>
    <x:row r="119">
      <x:c r="A119" s="13" t="n">
        <x:v>45931</x:v>
      </x:c>
      <x:c r="B119" s="14" t="str">
        <x:v>CMP010</x:v>
      </x:c>
      <x:c r="C119" s="14" t="str">
        <x:v>PaidSocial_Acquisition_05</x:v>
      </x:c>
      <x:c r="D119" s="14" t="str">
        <x:v>Paid Social</x:v>
      </x:c>
      <x:c r="E119" s="14" t="str">
        <x:v>Acquisition</x:v>
      </x:c>
      <x:c r="F119" s="14" t="str">
        <x:v>SMB</x:v>
      </x:c>
      <x:c r="G119" s="14" t="str">
        <x:v>North</x:v>
      </x:c>
      <x:c r="H119" s="14" t="n">
        <x:v>342843</x:v>
      </x:c>
      <x:c r="I119" s="14" t="n">
        <x:v>4565</x:v>
      </x:c>
      <x:c r="J119" s="14" t="n">
        <x:v>216</x:v>
      </x:c>
      <x:c r="K119" s="14" t="n">
        <x:v>26</x:v>
      </x:c>
      <x:c r="L119" s="15" t="n">
        <x:v>28057.56</x:v>
      </x:c>
      <x:c r="M119" s="15" t="n">
        <x:v>19742.09</x:v>
      </x:c>
    </x:row>
    <x:row r="120">
      <x:c r="A120" s="13" t="n">
        <x:v>45962</x:v>
      </x:c>
      <x:c r="B120" s="14" t="str">
        <x:v>CMP010</x:v>
      </x:c>
      <x:c r="C120" s="14" t="str">
        <x:v>PaidSocial_Acquisition_05</x:v>
      </x:c>
      <x:c r="D120" s="14" t="str">
        <x:v>Paid Social</x:v>
      </x:c>
      <x:c r="E120" s="14" t="str">
        <x:v>Acquisition</x:v>
      </x:c>
      <x:c r="F120" s="14" t="str">
        <x:v>SMB</x:v>
      </x:c>
      <x:c r="G120" s="14" t="str">
        <x:v>North</x:v>
      </x:c>
      <x:c r="H120" s="14" t="n">
        <x:v>391563</x:v>
      </x:c>
      <x:c r="I120" s="14" t="n">
        <x:v>6649</x:v>
      </x:c>
      <x:c r="J120" s="14" t="n">
        <x:v>298</x:v>
      </x:c>
      <x:c r="K120" s="14" t="n">
        <x:v>31</x:v>
      </x:c>
      <x:c r="L120" s="15" t="n">
        <x:v>32682.75</x:v>
      </x:c>
      <x:c r="M120" s="15" t="n">
        <x:v>22393.3</x:v>
      </x:c>
    </x:row>
    <x:row r="121">
      <x:c r="A121" s="13" t="n">
        <x:v>45992</x:v>
      </x:c>
      <x:c r="B121" s="14" t="str">
        <x:v>CMP010</x:v>
      </x:c>
      <x:c r="C121" s="14" t="str">
        <x:v>PaidSocial_Acquisition_05</x:v>
      </x:c>
      <x:c r="D121" s="14" t="str">
        <x:v>Paid Social</x:v>
      </x:c>
      <x:c r="E121" s="14" t="str">
        <x:v>Acquisition</x:v>
      </x:c>
      <x:c r="F121" s="14" t="str">
        <x:v>SMB</x:v>
      </x:c>
      <x:c r="G121" s="14" t="str">
        <x:v>North</x:v>
      </x:c>
      <x:c r="H121" s="14" t="n">
        <x:v>312094</x:v>
      </x:c>
      <x:c r="I121" s="14" t="n">
        <x:v>5482</x:v>
      </x:c>
      <x:c r="J121" s="14" t="n">
        <x:v>330</x:v>
      </x:c>
      <x:c r="K121" s="14" t="n">
        <x:v>33</x:v>
      </x:c>
      <x:c r="L121" s="15" t="n">
        <x:v>28432.94</x:v>
      </x:c>
      <x:c r="M121" s="15" t="n">
        <x:v>26932.75</x:v>
      </x:c>
    </x:row>
    <x:row r="122">
      <x:c r="A122" s="13" t="n">
        <x:v>45658</x:v>
      </x:c>
      <x:c r="B122" s="14" t="str">
        <x:v>CMP011</x:v>
      </x:c>
      <x:c r="C122" s="14" t="str">
        <x:v>Email_Retargeting_01</x:v>
      </x:c>
      <x:c r="D122" s="14" t="str">
        <x:v>Email</x:v>
      </x:c>
      <x:c r="E122" s="14" t="str">
        <x:v>Retargeting</x:v>
      </x:c>
      <x:c r="F122" s="14" t="str">
        <x:v>Consumer</x:v>
      </x:c>
      <x:c r="G122" s="14" t="str">
        <x:v>North</x:v>
      </x:c>
      <x:c r="H122" s="14" t="n">
        <x:v>327337</x:v>
      </x:c>
      <x:c r="I122" s="14" t="n">
        <x:v>16658</x:v>
      </x:c>
      <x:c r="J122" s="14" t="n">
        <x:v>1879</x:v>
      </x:c>
      <x:c r="K122" s="14" t="n">
        <x:v>291</x:v>
      </x:c>
      <x:c r="L122" s="15" t="n">
        <x:v>13266.28</x:v>
      </x:c>
      <x:c r="M122" s="15" t="n">
        <x:v>69116.95</x:v>
      </x:c>
    </x:row>
    <x:row r="123">
      <x:c r="A123" s="13" t="n">
        <x:v>45689</x:v>
      </x:c>
      <x:c r="B123" s="14" t="str">
        <x:v>CMP011</x:v>
      </x:c>
      <x:c r="C123" s="14" t="str">
        <x:v>Email_Retargeting_01</x:v>
      </x:c>
      <x:c r="D123" s="14" t="str">
        <x:v>Email</x:v>
      </x:c>
      <x:c r="E123" s="14" t="str">
        <x:v>Retargeting</x:v>
      </x:c>
      <x:c r="F123" s="14" t="str">
        <x:v>Consumer</x:v>
      </x:c>
      <x:c r="G123" s="14" t="str">
        <x:v>North</x:v>
      </x:c>
      <x:c r="H123" s="14" t="n">
        <x:v>433232</x:v>
      </x:c>
      <x:c r="I123" s="14" t="n">
        <x:v>22601</x:v>
      </x:c>
      <x:c r="J123" s="14" t="n">
        <x:v>2013</x:v>
      </x:c>
      <x:c r="K123" s="14" t="n">
        <x:v>421</x:v>
      </x:c>
      <x:c r="L123" s="15" t="n">
        <x:v>16294.35</x:v>
      </x:c>
      <x:c r="M123" s="15" t="n">
        <x:v>101175.28</x:v>
      </x:c>
    </x:row>
    <x:row r="124">
      <x:c r="A124" s="13" t="n">
        <x:v>45717</x:v>
      </x:c>
      <x:c r="B124" s="14" t="str">
        <x:v>CMP011</x:v>
      </x:c>
      <x:c r="C124" s="14" t="str">
        <x:v>Email_Retargeting_01</x:v>
      </x:c>
      <x:c r="D124" s="14" t="str">
        <x:v>Email</x:v>
      </x:c>
      <x:c r="E124" s="14" t="str">
        <x:v>Retargeting</x:v>
      </x:c>
      <x:c r="F124" s="14" t="str">
        <x:v>Consumer</x:v>
      </x:c>
      <x:c r="G124" s="14" t="str">
        <x:v>North</x:v>
      </x:c>
      <x:c r="H124" s="14" t="n">
        <x:v>394561</x:v>
      </x:c>
      <x:c r="I124" s="14" t="n">
        <x:v>19564</x:v>
      </x:c>
      <x:c r="J124" s="14" t="n">
        <x:v>2056</x:v>
      </x:c>
      <x:c r="K124" s="14" t="n">
        <x:v>303</x:v>
      </x:c>
      <x:c r="L124" s="15" t="n">
        <x:v>13828.54</x:v>
      </x:c>
      <x:c r="M124" s="15" t="n">
        <x:v>78281.8</x:v>
      </x:c>
    </x:row>
    <x:row r="125">
      <x:c r="A125" s="13" t="n">
        <x:v>45748</x:v>
      </x:c>
      <x:c r="B125" s="14" t="str">
        <x:v>CMP011</x:v>
      </x:c>
      <x:c r="C125" s="14" t="str">
        <x:v>Email_Retargeting_01</x:v>
      </x:c>
      <x:c r="D125" s="14" t="str">
        <x:v>Email</x:v>
      </x:c>
      <x:c r="E125" s="14" t="str">
        <x:v>Retargeting</x:v>
      </x:c>
      <x:c r="F125" s="14" t="str">
        <x:v>Consumer</x:v>
      </x:c>
      <x:c r="G125" s="14" t="str">
        <x:v>North</x:v>
      </x:c>
      <x:c r="H125" s="14" t="n">
        <x:v>469638</x:v>
      </x:c>
      <x:c r="I125" s="14" t="n">
        <x:v>19719</x:v>
      </x:c>
      <x:c r="J125" s="14" t="n">
        <x:v>2277</x:v>
      </x:c>
      <x:c r="K125" s="14" t="n">
        <x:v>401</x:v>
      </x:c>
      <x:c r="L125" s="15" t="n">
        <x:v>17764</x:v>
      </x:c>
      <x:c r="M125" s="15" t="n">
        <x:v>98401</x:v>
      </x:c>
    </x:row>
    <x:row r="126">
      <x:c r="A126" s="13" t="n">
        <x:v>45778</x:v>
      </x:c>
      <x:c r="B126" s="14" t="str">
        <x:v>CMP011</x:v>
      </x:c>
      <x:c r="C126" s="14" t="str">
        <x:v>Email_Retargeting_01</x:v>
      </x:c>
      <x:c r="D126" s="14" t="str">
        <x:v>Email</x:v>
      </x:c>
      <x:c r="E126" s="14" t="str">
        <x:v>Retargeting</x:v>
      </x:c>
      <x:c r="F126" s="14" t="str">
        <x:v>Consumer</x:v>
      </x:c>
      <x:c r="G126" s="14" t="str">
        <x:v>North</x:v>
      </x:c>
      <x:c r="H126" s="14" t="n">
        <x:v>427472</x:v>
      </x:c>
      <x:c r="I126" s="14" t="n">
        <x:v>23323</x:v>
      </x:c>
      <x:c r="J126" s="14" t="n">
        <x:v>2822</x:v>
      </x:c>
      <x:c r="K126" s="14" t="n">
        <x:v>446</x:v>
      </x:c>
      <x:c r="L126" s="15" t="n">
        <x:v>15432.62</x:v>
      </x:c>
      <x:c r="M126" s="15" t="n">
        <x:v>105974.73</x:v>
      </x:c>
    </x:row>
    <x:row r="127">
      <x:c r="A127" s="13" t="n">
        <x:v>45809</x:v>
      </x:c>
      <x:c r="B127" s="14" t="str">
        <x:v>CMP011</x:v>
      </x:c>
      <x:c r="C127" s="14" t="str">
        <x:v>Email_Retargeting_01</x:v>
      </x:c>
      <x:c r="D127" s="14" t="str">
        <x:v>Email</x:v>
      </x:c>
      <x:c r="E127" s="14" t="str">
        <x:v>Retargeting</x:v>
      </x:c>
      <x:c r="F127" s="14" t="str">
        <x:v>Consumer</x:v>
      </x:c>
      <x:c r="G127" s="14" t="str">
        <x:v>North</x:v>
      </x:c>
      <x:c r="H127" s="14" t="n">
        <x:v>366207</x:v>
      </x:c>
      <x:c r="I127" s="14" t="n">
        <x:v>17884</x:v>
      </x:c>
      <x:c r="J127" s="14" t="n">
        <x:v>2096</x:v>
      </x:c>
      <x:c r="K127" s="14" t="n">
        <x:v>423</x:v>
      </x:c>
      <x:c r="L127" s="15" t="n">
        <x:v>15396.66</x:v>
      </x:c>
      <x:c r="M127" s="15" t="n">
        <x:v>95037.39</x:v>
      </x:c>
    </x:row>
    <x:row r="128">
      <x:c r="A128" s="13" t="n">
        <x:v>45839</x:v>
      </x:c>
      <x:c r="B128" s="14" t="str">
        <x:v>CMP011</x:v>
      </x:c>
      <x:c r="C128" s="14" t="str">
        <x:v>Email_Retargeting_01</x:v>
      </x:c>
      <x:c r="D128" s="14" t="str">
        <x:v>Email</x:v>
      </x:c>
      <x:c r="E128" s="14" t="str">
        <x:v>Retargeting</x:v>
      </x:c>
      <x:c r="F128" s="14" t="str">
        <x:v>Consumer</x:v>
      </x:c>
      <x:c r="G128" s="14" t="str">
        <x:v>North</x:v>
      </x:c>
      <x:c r="H128" s="14" t="n">
        <x:v>440852</x:v>
      </x:c>
      <x:c r="I128" s="14" t="n">
        <x:v>24822</x:v>
      </x:c>
      <x:c r="J128" s="14" t="n">
        <x:v>2567</x:v>
      </x:c>
      <x:c r="K128" s="14" t="n">
        <x:v>510</x:v>
      </x:c>
      <x:c r="L128" s="15" t="n">
        <x:v>16487.31</x:v>
      </x:c>
      <x:c r="M128" s="15" t="n">
        <x:v>114742.22</x:v>
      </x:c>
    </x:row>
    <x:row r="129">
      <x:c r="A129" s="13" t="n">
        <x:v>45870</x:v>
      </x:c>
      <x:c r="B129" s="14" t="str">
        <x:v>CMP011</x:v>
      </x:c>
      <x:c r="C129" s="14" t="str">
        <x:v>Email_Retargeting_01</x:v>
      </x:c>
      <x:c r="D129" s="14" t="str">
        <x:v>Email</x:v>
      </x:c>
      <x:c r="E129" s="14" t="str">
        <x:v>Retargeting</x:v>
      </x:c>
      <x:c r="F129" s="14" t="str">
        <x:v>Consumer</x:v>
      </x:c>
      <x:c r="G129" s="14" t="str">
        <x:v>North</x:v>
      </x:c>
      <x:c r="H129" s="14" t="n">
        <x:v>347662</x:v>
      </x:c>
      <x:c r="I129" s="14" t="n">
        <x:v>19969</x:v>
      </x:c>
      <x:c r="J129" s="14" t="n">
        <x:v>2052</x:v>
      </x:c>
      <x:c r="K129" s="14" t="n">
        <x:v>310</x:v>
      </x:c>
      <x:c r="L129" s="15" t="n">
        <x:v>13550.05</x:v>
      </x:c>
      <x:c r="M129" s="15" t="n">
        <x:v>73474.6</x:v>
      </x:c>
    </x:row>
    <x:row r="130">
      <x:c r="A130" s="13" t="n">
        <x:v>45901</x:v>
      </x:c>
      <x:c r="B130" s="14" t="str">
        <x:v>CMP011</x:v>
      </x:c>
      <x:c r="C130" s="14" t="str">
        <x:v>Email_Retargeting_01</x:v>
      </x:c>
      <x:c r="D130" s="14" t="str">
        <x:v>Email</x:v>
      </x:c>
      <x:c r="E130" s="14" t="str">
        <x:v>Retargeting</x:v>
      </x:c>
      <x:c r="F130" s="14" t="str">
        <x:v>Consumer</x:v>
      </x:c>
      <x:c r="G130" s="14" t="str">
        <x:v>North</x:v>
      </x:c>
      <x:c r="H130" s="14" t="n">
        <x:v>382100</x:v>
      </x:c>
      <x:c r="I130" s="14" t="n">
        <x:v>18896</x:v>
      </x:c>
      <x:c r="J130" s="14" t="n">
        <x:v>1918</x:v>
      </x:c>
      <x:c r="K130" s="14" t="n">
        <x:v>313</x:v>
      </x:c>
      <x:c r="L130" s="15" t="n">
        <x:v>14769.64</x:v>
      </x:c>
      <x:c r="M130" s="15" t="n">
        <x:v>69033.47</x:v>
      </x:c>
    </x:row>
    <x:row r="131">
      <x:c r="A131" s="13" t="n">
        <x:v>45931</x:v>
      </x:c>
      <x:c r="B131" s="14" t="str">
        <x:v>CMP011</x:v>
      </x:c>
      <x:c r="C131" s="14" t="str">
        <x:v>Email_Retargeting_01</x:v>
      </x:c>
      <x:c r="D131" s="14" t="str">
        <x:v>Email</x:v>
      </x:c>
      <x:c r="E131" s="14" t="str">
        <x:v>Retargeting</x:v>
      </x:c>
      <x:c r="F131" s="14" t="str">
        <x:v>Consumer</x:v>
      </x:c>
      <x:c r="G131" s="14" t="str">
        <x:v>North</x:v>
      </x:c>
      <x:c r="H131" s="14" t="n">
        <x:v>441949</x:v>
      </x:c>
      <x:c r="I131" s="14" t="n">
        <x:v>19455</x:v>
      </x:c>
      <x:c r="J131" s="14" t="n">
        <x:v>2206</x:v>
      </x:c>
      <x:c r="K131" s="14" t="n">
        <x:v>317</x:v>
      </x:c>
      <x:c r="L131" s="15" t="n">
        <x:v>17163.54</x:v>
      </x:c>
      <x:c r="M131" s="15" t="n">
        <x:v>78207.36</x:v>
      </x:c>
    </x:row>
    <x:row r="132">
      <x:c r="A132" s="13" t="n">
        <x:v>45962</x:v>
      </x:c>
      <x:c r="B132" s="14" t="str">
        <x:v>CMP011</x:v>
      </x:c>
      <x:c r="C132" s="14" t="str">
        <x:v>Email_Retargeting_01</x:v>
      </x:c>
      <x:c r="D132" s="14" t="str">
        <x:v>Email</x:v>
      </x:c>
      <x:c r="E132" s="14" t="str">
        <x:v>Retargeting</x:v>
      </x:c>
      <x:c r="F132" s="14" t="str">
        <x:v>Consumer</x:v>
      </x:c>
      <x:c r="G132" s="14" t="str">
        <x:v>North</x:v>
      </x:c>
      <x:c r="H132" s="14" t="n">
        <x:v>450622</x:v>
      </x:c>
      <x:c r="I132" s="14" t="n">
        <x:v>21042</x:v>
      </x:c>
      <x:c r="J132" s="14" t="n">
        <x:v>2298</x:v>
      </x:c>
      <x:c r="K132" s="14" t="n">
        <x:v>456</x:v>
      </x:c>
      <x:c r="L132" s="15" t="n">
        <x:v>18489.71</x:v>
      </x:c>
      <x:c r="M132" s="15" t="n">
        <x:v>117564.86</x:v>
      </x:c>
    </x:row>
    <x:row r="133">
      <x:c r="A133" s="13" t="n">
        <x:v>45992</x:v>
      </x:c>
      <x:c r="B133" s="14" t="str">
        <x:v>CMP011</x:v>
      </x:c>
      <x:c r="C133" s="14" t="str">
        <x:v>Email_Retargeting_01</x:v>
      </x:c>
      <x:c r="D133" s="14" t="str">
        <x:v>Email</x:v>
      </x:c>
      <x:c r="E133" s="14" t="str">
        <x:v>Retargeting</x:v>
      </x:c>
      <x:c r="F133" s="14" t="str">
        <x:v>Consumer</x:v>
      </x:c>
      <x:c r="G133" s="14" t="str">
        <x:v>North</x:v>
      </x:c>
      <x:c r="H133" s="14" t="n">
        <x:v>532696</x:v>
      </x:c>
      <x:c r="I133" s="14" t="n">
        <x:v>25960</x:v>
      </x:c>
      <x:c r="J133" s="14" t="n">
        <x:v>2765</x:v>
      </x:c>
      <x:c r="K133" s="14" t="n">
        <x:v>559</x:v>
      </x:c>
      <x:c r="L133" s="15" t="n">
        <x:v>18077.56</x:v>
      </x:c>
      <x:c r="M133" s="15" t="n">
        <x:v>141316.27</x:v>
      </x:c>
    </x:row>
    <x:row r="134">
      <x:c r="A134" s="13" t="n">
        <x:v>45658</x:v>
      </x:c>
      <x:c r="B134" s="14" t="str">
        <x:v>CMP012</x:v>
      </x:c>
      <x:c r="C134" s="14" t="str">
        <x:v>Email_Retargeting_02</x:v>
      </x:c>
      <x:c r="D134" s="14" t="str">
        <x:v>Email</x:v>
      </x:c>
      <x:c r="E134" s="14" t="str">
        <x:v>Retargeting</x:v>
      </x:c>
      <x:c r="F134" s="14" t="str">
        <x:v>B2B</x:v>
      </x:c>
      <x:c r="G134" s="14" t="str">
        <x:v>East</x:v>
      </x:c>
      <x:c r="H134" s="14" t="n">
        <x:v>224193</x:v>
      </x:c>
      <x:c r="I134" s="14" t="n">
        <x:v>12500</x:v>
      </x:c>
      <x:c r="J134" s="14" t="n">
        <x:v>1077</x:v>
      </x:c>
      <x:c r="K134" s="14" t="n">
        <x:v>207</x:v>
      </x:c>
      <x:c r="L134" s="15" t="n">
        <x:v>10707.39</x:v>
      </x:c>
      <x:c r="M134" s="15" t="n">
        <x:v>50110.23</x:v>
      </x:c>
    </x:row>
    <x:row r="135">
      <x:c r="A135" s="13" t="n">
        <x:v>45689</x:v>
      </x:c>
      <x:c r="B135" s="14" t="str">
        <x:v>CMP012</x:v>
      </x:c>
      <x:c r="C135" s="14" t="str">
        <x:v>Email_Retargeting_02</x:v>
      </x:c>
      <x:c r="D135" s="14" t="str">
        <x:v>Email</x:v>
      </x:c>
      <x:c r="E135" s="14" t="str">
        <x:v>Retargeting</x:v>
      </x:c>
      <x:c r="F135" s="14" t="str">
        <x:v>B2B</x:v>
      </x:c>
      <x:c r="G135" s="14" t="str">
        <x:v>East</x:v>
      </x:c>
      <x:c r="H135" s="14" t="n">
        <x:v>303191</x:v>
      </x:c>
      <x:c r="I135" s="14" t="n">
        <x:v>12274</x:v>
      </x:c>
      <x:c r="J135" s="14" t="n">
        <x:v>1171</x:v>
      </x:c>
      <x:c r="K135" s="14" t="n">
        <x:v>217</x:v>
      </x:c>
      <x:c r="L135" s="15" t="n">
        <x:v>12969.48</x:v>
      </x:c>
      <x:c r="M135" s="15" t="n">
        <x:v>55492.13</x:v>
      </x:c>
    </x:row>
    <x:row r="136">
      <x:c r="A136" s="13" t="n">
        <x:v>45717</x:v>
      </x:c>
      <x:c r="B136" s="14" t="str">
        <x:v>CMP012</x:v>
      </x:c>
      <x:c r="C136" s="14" t="str">
        <x:v>Email_Retargeting_02</x:v>
      </x:c>
      <x:c r="D136" s="14" t="str">
        <x:v>Email</x:v>
      </x:c>
      <x:c r="E136" s="14" t="str">
        <x:v>Retargeting</x:v>
      </x:c>
      <x:c r="F136" s="14" t="str">
        <x:v>B2B</x:v>
      </x:c>
      <x:c r="G136" s="14" t="str">
        <x:v>East</x:v>
      </x:c>
      <x:c r="H136" s="14" t="n">
        <x:v>332876</x:v>
      </x:c>
      <x:c r="I136" s="14" t="n">
        <x:v>18089</x:v>
      </x:c>
      <x:c r="J136" s="14" t="n">
        <x:v>1832</x:v>
      </x:c>
      <x:c r="K136" s="14" t="n">
        <x:v>322</x:v>
      </x:c>
      <x:c r="L136" s="15" t="n">
        <x:v>15042.74</x:v>
      </x:c>
      <x:c r="M136" s="15" t="n">
        <x:v>83714.63</x:v>
      </x:c>
    </x:row>
    <x:row r="137">
      <x:c r="A137" s="13" t="n">
        <x:v>45748</x:v>
      </x:c>
      <x:c r="B137" s="14" t="str">
        <x:v>CMP012</x:v>
      </x:c>
      <x:c r="C137" s="14" t="str">
        <x:v>Email_Retargeting_02</x:v>
      </x:c>
      <x:c r="D137" s="14" t="str">
        <x:v>Email</x:v>
      </x:c>
      <x:c r="E137" s="14" t="str">
        <x:v>Retargeting</x:v>
      </x:c>
      <x:c r="F137" s="14" t="str">
        <x:v>B2B</x:v>
      </x:c>
      <x:c r="G137" s="14" t="str">
        <x:v>East</x:v>
      </x:c>
      <x:c r="H137" s="14" t="n">
        <x:v>272949</x:v>
      </x:c>
      <x:c r="I137" s="14" t="n">
        <x:v>12020</x:v>
      </x:c>
      <x:c r="J137" s="14" t="n">
        <x:v>1102</x:v>
      </x:c>
      <x:c r="K137" s="14" t="n">
        <x:v>159</x:v>
      </x:c>
      <x:c r="L137" s="15" t="n">
        <x:v>12500.08</x:v>
      </x:c>
      <x:c r="M137" s="15" t="n">
        <x:v>44252.42</x:v>
      </x:c>
    </x:row>
    <x:row r="138">
      <x:c r="A138" s="13" t="n">
        <x:v>45778</x:v>
      </x:c>
      <x:c r="B138" s="14" t="str">
        <x:v>CMP012</x:v>
      </x:c>
      <x:c r="C138" s="14" t="str">
        <x:v>Email_Retargeting_02</x:v>
      </x:c>
      <x:c r="D138" s="14" t="str">
        <x:v>Email</x:v>
      </x:c>
      <x:c r="E138" s="14" t="str">
        <x:v>Retargeting</x:v>
      </x:c>
      <x:c r="F138" s="14" t="str">
        <x:v>B2B</x:v>
      </x:c>
      <x:c r="G138" s="14" t="str">
        <x:v>East</x:v>
      </x:c>
      <x:c r="H138" s="14" t="n">
        <x:v>315487</x:v>
      </x:c>
      <x:c r="I138" s="14" t="n">
        <x:v>12882</x:v>
      </x:c>
      <x:c r="J138" s="14" t="n">
        <x:v>1153</x:v>
      </x:c>
      <x:c r="K138" s="14" t="n">
        <x:v>183</x:v>
      </x:c>
      <x:c r="L138" s="15" t="n">
        <x:v>14512.91</x:v>
      </x:c>
      <x:c r="M138" s="15" t="n">
        <x:v>42105.56</x:v>
      </x:c>
    </x:row>
    <x:row r="139">
      <x:c r="A139" s="13" t="n">
        <x:v>45809</x:v>
      </x:c>
      <x:c r="B139" s="14" t="str">
        <x:v>CMP012</x:v>
      </x:c>
      <x:c r="C139" s="14" t="str">
        <x:v>Email_Retargeting_02</x:v>
      </x:c>
      <x:c r="D139" s="14" t="str">
        <x:v>Email</x:v>
      </x:c>
      <x:c r="E139" s="14" t="str">
        <x:v>Retargeting</x:v>
      </x:c>
      <x:c r="F139" s="14" t="str">
        <x:v>B2B</x:v>
      </x:c>
      <x:c r="G139" s="14" t="str">
        <x:v>East</x:v>
      </x:c>
      <x:c r="H139" s="14" t="n">
        <x:v>335336</x:v>
      </x:c>
      <x:c r="I139" s="14" t="n">
        <x:v>15177</x:v>
      </x:c>
      <x:c r="J139" s="14" t="n">
        <x:v>1505</x:v>
      </x:c>
      <x:c r="K139" s="14" t="n">
        <x:v>234</x:v>
      </x:c>
      <x:c r="L139" s="15" t="n">
        <x:v>13139.66</x:v>
      </x:c>
      <x:c r="M139" s="15" t="n">
        <x:v>58394.22</x:v>
      </x:c>
    </x:row>
    <x:row r="140">
      <x:c r="A140" s="13" t="n">
        <x:v>45839</x:v>
      </x:c>
      <x:c r="B140" s="14" t="str">
        <x:v>CMP012</x:v>
      </x:c>
      <x:c r="C140" s="14" t="str">
        <x:v>Email_Retargeting_02</x:v>
      </x:c>
      <x:c r="D140" s="14" t="str">
        <x:v>Email</x:v>
      </x:c>
      <x:c r="E140" s="14" t="str">
        <x:v>Retargeting</x:v>
      </x:c>
      <x:c r="F140" s="14" t="str">
        <x:v>B2B</x:v>
      </x:c>
      <x:c r="G140" s="14" t="str">
        <x:v>East</x:v>
      </x:c>
      <x:c r="H140" s="14" t="n">
        <x:v>343265</x:v>
      </x:c>
      <x:c r="I140" s="14" t="n">
        <x:v>14455</x:v>
      </x:c>
      <x:c r="J140" s="14" t="n">
        <x:v>1528</x:v>
      </x:c>
      <x:c r="K140" s="14" t="n">
        <x:v>252</x:v>
      </x:c>
      <x:c r="L140" s="15" t="n">
        <x:v>13898.13</x:v>
      </x:c>
      <x:c r="M140" s="15" t="n">
        <x:v>66356.6</x:v>
      </x:c>
    </x:row>
    <x:row r="141">
      <x:c r="A141" s="13" t="n">
        <x:v>45870</x:v>
      </x:c>
      <x:c r="B141" s="14" t="str">
        <x:v>CMP012</x:v>
      </x:c>
      <x:c r="C141" s="14" t="str">
        <x:v>Email_Retargeting_02</x:v>
      </x:c>
      <x:c r="D141" s="14" t="str">
        <x:v>Email</x:v>
      </x:c>
      <x:c r="E141" s="14" t="str">
        <x:v>Retargeting</x:v>
      </x:c>
      <x:c r="F141" s="14" t="str">
        <x:v>B2B</x:v>
      </x:c>
      <x:c r="G141" s="14" t="str">
        <x:v>East</x:v>
      </x:c>
      <x:c r="H141" s="14" t="n">
        <x:v>281669</x:v>
      </x:c>
      <x:c r="I141" s="14" t="n">
        <x:v>12138</x:v>
      </x:c>
      <x:c r="J141" s="14" t="n">
        <x:v>1296</x:v>
      </x:c>
      <x:c r="K141" s="14" t="n">
        <x:v>220</x:v>
      </x:c>
      <x:c r="L141" s="15" t="n">
        <x:v>12599.27</x:v>
      </x:c>
      <x:c r="M141" s="15" t="n">
        <x:v>57748.25</x:v>
      </x:c>
    </x:row>
    <x:row r="142">
      <x:c r="A142" s="13" t="n">
        <x:v>45901</x:v>
      </x:c>
      <x:c r="B142" s="14" t="str">
        <x:v>CMP012</x:v>
      </x:c>
      <x:c r="C142" s="14" t="str">
        <x:v>Email_Retargeting_02</x:v>
      </x:c>
      <x:c r="D142" s="14" t="str">
        <x:v>Email</x:v>
      </x:c>
      <x:c r="E142" s="14" t="str">
        <x:v>Retargeting</x:v>
      </x:c>
      <x:c r="F142" s="14" t="str">
        <x:v>B2B</x:v>
      </x:c>
      <x:c r="G142" s="14" t="str">
        <x:v>East</x:v>
      </x:c>
      <x:c r="H142" s="14" t="n">
        <x:v>350770</x:v>
      </x:c>
      <x:c r="I142" s="14" t="n">
        <x:v>15449</x:v>
      </x:c>
      <x:c r="J142" s="14" t="n">
        <x:v>1598</x:v>
      </x:c>
      <x:c r="K142" s="14" t="n">
        <x:v>229</x:v>
      </x:c>
      <x:c r="L142" s="15" t="n">
        <x:v>15254.93</x:v>
      </x:c>
      <x:c r="M142" s="15" t="n">
        <x:v>63349.51</x:v>
      </x:c>
    </x:row>
    <x:row r="143">
      <x:c r="A143" s="13" t="n">
        <x:v>45931</x:v>
      </x:c>
      <x:c r="B143" s="14" t="str">
        <x:v>CMP012</x:v>
      </x:c>
      <x:c r="C143" s="14" t="str">
        <x:v>Email_Retargeting_02</x:v>
      </x:c>
      <x:c r="D143" s="14" t="str">
        <x:v>Email</x:v>
      </x:c>
      <x:c r="E143" s="14" t="str">
        <x:v>Retargeting</x:v>
      </x:c>
      <x:c r="F143" s="14" t="str">
        <x:v>B2B</x:v>
      </x:c>
      <x:c r="G143" s="14" t="str">
        <x:v>East</x:v>
      </x:c>
      <x:c r="H143" s="14" t="n">
        <x:v>389215</x:v>
      </x:c>
      <x:c r="I143" s="14" t="n">
        <x:v>21649</x:v>
      </x:c>
      <x:c r="J143" s="14" t="n">
        <x:v>2353</x:v>
      </x:c>
      <x:c r="K143" s="14" t="n">
        <x:v>400</x:v>
      </x:c>
      <x:c r="L143" s="15" t="n">
        <x:v>16246.44</x:v>
      </x:c>
      <x:c r="M143" s="15" t="n">
        <x:v>97585.26</x:v>
      </x:c>
    </x:row>
    <x:row r="144">
      <x:c r="A144" s="13" t="n">
        <x:v>45962</x:v>
      </x:c>
      <x:c r="B144" s="14" t="str">
        <x:v>CMP012</x:v>
      </x:c>
      <x:c r="C144" s="14" t="str">
        <x:v>Email_Retargeting_02</x:v>
      </x:c>
      <x:c r="D144" s="14" t="str">
        <x:v>Email</x:v>
      </x:c>
      <x:c r="E144" s="14" t="str">
        <x:v>Retargeting</x:v>
      </x:c>
      <x:c r="F144" s="14" t="str">
        <x:v>B2B</x:v>
      </x:c>
      <x:c r="G144" s="14" t="str">
        <x:v>East</x:v>
      </x:c>
      <x:c r="H144" s="14" t="n">
        <x:v>368218</x:v>
      </x:c>
      <x:c r="I144" s="14" t="n">
        <x:v>15074</x:v>
      </x:c>
      <x:c r="J144" s="14" t="n">
        <x:v>1468</x:v>
      </x:c>
      <x:c r="K144" s="14" t="n">
        <x:v>240</x:v>
      </x:c>
      <x:c r="L144" s="15" t="n">
        <x:v>17517.78</x:v>
      </x:c>
      <x:c r="M144" s="15" t="n">
        <x:v>58474.96</x:v>
      </x:c>
    </x:row>
    <x:row r="145">
      <x:c r="A145" s="13" t="n">
        <x:v>45992</x:v>
      </x:c>
      <x:c r="B145" s="14" t="str">
        <x:v>CMP012</x:v>
      </x:c>
      <x:c r="C145" s="14" t="str">
        <x:v>Email_Retargeting_02</x:v>
      </x:c>
      <x:c r="D145" s="14" t="str">
        <x:v>Email</x:v>
      </x:c>
      <x:c r="E145" s="14" t="str">
        <x:v>Retargeting</x:v>
      </x:c>
      <x:c r="F145" s="14" t="str">
        <x:v>B2B</x:v>
      </x:c>
      <x:c r="G145" s="14" t="str">
        <x:v>East</x:v>
      </x:c>
      <x:c r="H145" s="14" t="n">
        <x:v>431846</x:v>
      </x:c>
      <x:c r="I145" s="14" t="n">
        <x:v>23042</x:v>
      </x:c>
      <x:c r="J145" s="14" t="n">
        <x:v>2256</x:v>
      </x:c>
      <x:c r="K145" s="14" t="n">
        <x:v>314</x:v>
      </x:c>
      <x:c r="L145" s="15" t="n">
        <x:v>16765.91</x:v>
      </x:c>
      <x:c r="M145" s="15" t="n">
        <x:v>85584.65</x:v>
      </x:c>
    </x:row>
    <x:row r="146">
      <x:c r="A146" s="13" t="n">
        <x:v>45658</x:v>
      </x:c>
      <x:c r="B146" s="14" t="str">
        <x:v>CMP013</x:v>
      </x:c>
      <x:c r="C146" s="14" t="str">
        <x:v>Email_LeadGen_03</x:v>
      </x:c>
      <x:c r="D146" s="14" t="str">
        <x:v>Email</x:v>
      </x:c>
      <x:c r="E146" s="14" t="str">
        <x:v>Lead Gen</x:v>
      </x:c>
      <x:c r="F146" s="14" t="str">
        <x:v>B2B</x:v>
      </x:c>
      <x:c r="G146" s="14" t="str">
        <x:v>East</x:v>
      </x:c>
      <x:c r="H146" s="14" t="n">
        <x:v>848931</x:v>
      </x:c>
      <x:c r="I146" s="14" t="n">
        <x:v>39601</x:v>
      </x:c>
      <x:c r="J146" s="14" t="n">
        <x:v>4712</x:v>
      </x:c>
      <x:c r="K146" s="14" t="n">
        <x:v>772</x:v>
      </x:c>
      <x:c r="L146" s="15" t="n">
        <x:v>23269.74</x:v>
      </x:c>
      <x:c r="M146" s="15" t="n">
        <x:v>164238.67</x:v>
      </x:c>
    </x:row>
    <x:row r="147">
      <x:c r="A147" s="13" t="n">
        <x:v>45689</x:v>
      </x:c>
      <x:c r="B147" s="14" t="str">
        <x:v>CMP013</x:v>
      </x:c>
      <x:c r="C147" s="14" t="str">
        <x:v>Email_LeadGen_03</x:v>
      </x:c>
      <x:c r="D147" s="14" t="str">
        <x:v>Email</x:v>
      </x:c>
      <x:c r="E147" s="14" t="str">
        <x:v>Lead Gen</x:v>
      </x:c>
      <x:c r="F147" s="14" t="str">
        <x:v>B2B</x:v>
      </x:c>
      <x:c r="G147" s="14" t="str">
        <x:v>East</x:v>
      </x:c>
      <x:c r="H147" s="14" t="n">
        <x:v>717787</x:v>
      </x:c>
      <x:c r="I147" s="14" t="n">
        <x:v>40658</x:v>
      </x:c>
      <x:c r="J147" s="14" t="n">
        <x:v>4647</x:v>
      </x:c>
      <x:c r="K147" s="14" t="n">
        <x:v>733</x:v>
      </x:c>
      <x:c r="L147" s="15" t="n">
        <x:v>19585.71</x:v>
      </x:c>
      <x:c r="M147" s="15" t="n">
        <x:v>152850.55</x:v>
      </x:c>
    </x:row>
    <x:row r="148">
      <x:c r="A148" s="13" t="n">
        <x:v>45717</x:v>
      </x:c>
      <x:c r="B148" s="14" t="str">
        <x:v>CMP013</x:v>
      </x:c>
      <x:c r="C148" s="14" t="str">
        <x:v>Email_LeadGen_03</x:v>
      </x:c>
      <x:c r="D148" s="14" t="str">
        <x:v>Email</x:v>
      </x:c>
      <x:c r="E148" s="14" t="str">
        <x:v>Lead Gen</x:v>
      </x:c>
      <x:c r="F148" s="14" t="str">
        <x:v>B2B</x:v>
      </x:c>
      <x:c r="G148" s="14" t="str">
        <x:v>East</x:v>
      </x:c>
      <x:c r="H148" s="14" t="n">
        <x:v>1019714</x:v>
      </x:c>
      <x:c r="I148" s="14" t="n">
        <x:v>58161</x:v>
      </x:c>
      <x:c r="J148" s="14" t="n">
        <x:v>5193</x:v>
      </x:c>
      <x:c r="K148" s="14" t="n">
        <x:v>907</x:v>
      </x:c>
      <x:c r="L148" s="15" t="n">
        <x:v>23318.19</x:v>
      </x:c>
      <x:c r="M148" s="15" t="n">
        <x:v>190543.32</x:v>
      </x:c>
    </x:row>
    <x:row r="149">
      <x:c r="A149" s="13" t="n">
        <x:v>45748</x:v>
      </x:c>
      <x:c r="B149" s="14" t="str">
        <x:v>CMP013</x:v>
      </x:c>
      <x:c r="C149" s="14" t="str">
        <x:v>Email_LeadGen_03</x:v>
      </x:c>
      <x:c r="D149" s="14" t="str">
        <x:v>Email</x:v>
      </x:c>
      <x:c r="E149" s="14" t="str">
        <x:v>Lead Gen</x:v>
      </x:c>
      <x:c r="F149" s="14" t="str">
        <x:v>B2B</x:v>
      </x:c>
      <x:c r="G149" s="14" t="str">
        <x:v>East</x:v>
      </x:c>
      <x:c r="H149" s="14" t="n">
        <x:v>1069592</x:v>
      </x:c>
      <x:c r="I149" s="14" t="n">
        <x:v>53583</x:v>
      </x:c>
      <x:c r="J149" s="14" t="n">
        <x:v>5131</x:v>
      </x:c>
      <x:c r="K149" s="14" t="n">
        <x:v>1056</x:v>
      </x:c>
      <x:c r="L149" s="15" t="n">
        <x:v>26354.83</x:v>
      </x:c>
      <x:c r="M149" s="15" t="n">
        <x:v>257533.32</x:v>
      </x:c>
    </x:row>
    <x:row r="150">
      <x:c r="A150" s="13" t="n">
        <x:v>45778</x:v>
      </x:c>
      <x:c r="B150" s="14" t="str">
        <x:v>CMP013</x:v>
      </x:c>
      <x:c r="C150" s="14" t="str">
        <x:v>Email_LeadGen_03</x:v>
      </x:c>
      <x:c r="D150" s="14" t="str">
        <x:v>Email</x:v>
      </x:c>
      <x:c r="E150" s="14" t="str">
        <x:v>Lead Gen</x:v>
      </x:c>
      <x:c r="F150" s="14" t="str">
        <x:v>B2B</x:v>
      </x:c>
      <x:c r="G150" s="14" t="str">
        <x:v>East</x:v>
      </x:c>
      <x:c r="H150" s="14" t="n">
        <x:v>850359</x:v>
      </x:c>
      <x:c r="I150" s="14" t="n">
        <x:v>40339</x:v>
      </x:c>
      <x:c r="J150" s="14" t="n">
        <x:v>3806</x:v>
      </x:c>
      <x:c r="K150" s="14" t="n">
        <x:v>819</x:v>
      </x:c>
      <x:c r="L150" s="15" t="n">
        <x:v>21871.52</x:v>
      </x:c>
      <x:c r="M150" s="15" t="n">
        <x:v>202250.71</x:v>
      </x:c>
    </x:row>
    <x:row r="151">
      <x:c r="A151" s="13" t="n">
        <x:v>45809</x:v>
      </x:c>
      <x:c r="B151" s="14" t="str">
        <x:v>CMP013</x:v>
      </x:c>
      <x:c r="C151" s="14" t="str">
        <x:v>Email_LeadGen_03</x:v>
      </x:c>
      <x:c r="D151" s="14" t="str">
        <x:v>Email</x:v>
      </x:c>
      <x:c r="E151" s="14" t="str">
        <x:v>Lead Gen</x:v>
      </x:c>
      <x:c r="F151" s="14" t="str">
        <x:v>B2B</x:v>
      </x:c>
      <x:c r="G151" s="14" t="str">
        <x:v>East</x:v>
      </x:c>
      <x:c r="H151" s="14" t="n">
        <x:v>1116805</x:v>
      </x:c>
      <x:c r="I151" s="14" t="n">
        <x:v>65398</x:v>
      </x:c>
      <x:c r="J151" s="14" t="n">
        <x:v>7787</x:v>
      </x:c>
      <x:c r="K151" s="14" t="n">
        <x:v>1420</x:v>
      </x:c>
      <x:c r="L151" s="15" t="n">
        <x:v>27300.57</x:v>
      </x:c>
      <x:c r="M151" s="15" t="n">
        <x:v>294700.52</x:v>
      </x:c>
    </x:row>
    <x:row r="152">
      <x:c r="A152" s="13" t="n">
        <x:v>45839</x:v>
      </x:c>
      <x:c r="B152" s="14" t="str">
        <x:v>CMP013</x:v>
      </x:c>
      <x:c r="C152" s="14" t="str">
        <x:v>Email_LeadGen_03</x:v>
      </x:c>
      <x:c r="D152" s="14" t="str">
        <x:v>Email</x:v>
      </x:c>
      <x:c r="E152" s="14" t="str">
        <x:v>Lead Gen</x:v>
      </x:c>
      <x:c r="F152" s="14" t="str">
        <x:v>B2B</x:v>
      </x:c>
      <x:c r="G152" s="14" t="str">
        <x:v>East</x:v>
      </x:c>
      <x:c r="H152" s="14" t="n">
        <x:v>1008755</x:v>
      </x:c>
      <x:c r="I152" s="14" t="n">
        <x:v>55429</x:v>
      </x:c>
      <x:c r="J152" s="14" t="n">
        <x:v>6322</x:v>
      </x:c>
      <x:c r="K152" s="14" t="n">
        <x:v>1120</x:v>
      </x:c>
      <x:c r="L152" s="15" t="n">
        <x:v>24226.51</x:v>
      </x:c>
      <x:c r="M152" s="15" t="n">
        <x:v>271580.93</x:v>
      </x:c>
    </x:row>
    <x:row r="153">
      <x:c r="A153" s="13" t="n">
        <x:v>45870</x:v>
      </x:c>
      <x:c r="B153" s="14" t="str">
        <x:v>CMP013</x:v>
      </x:c>
      <x:c r="C153" s="14" t="str">
        <x:v>Email_LeadGen_03</x:v>
      </x:c>
      <x:c r="D153" s="14" t="str">
        <x:v>Email</x:v>
      </x:c>
      <x:c r="E153" s="14" t="str">
        <x:v>Lead Gen</x:v>
      </x:c>
      <x:c r="F153" s="14" t="str">
        <x:v>B2B</x:v>
      </x:c>
      <x:c r="G153" s="14" t="str">
        <x:v>East</x:v>
      </x:c>
      <x:c r="H153" s="14" t="n">
        <x:v>944841</x:v>
      </x:c>
      <x:c r="I153" s="14" t="n">
        <x:v>46966</x:v>
      </x:c>
      <x:c r="J153" s="14" t="n">
        <x:v>4613</x:v>
      </x:c>
      <x:c r="K153" s="14" t="n">
        <x:v>724</x:v>
      </x:c>
      <x:c r="L153" s="15" t="n">
        <x:v>21902.68</x:v>
      </x:c>
      <x:c r="M153" s="15" t="n">
        <x:v>159887.47</x:v>
      </x:c>
    </x:row>
    <x:row r="154">
      <x:c r="A154" s="13" t="n">
        <x:v>45901</x:v>
      </x:c>
      <x:c r="B154" s="14" t="str">
        <x:v>CMP013</x:v>
      </x:c>
      <x:c r="C154" s="14" t="str">
        <x:v>Email_LeadGen_03</x:v>
      </x:c>
      <x:c r="D154" s="14" t="str">
        <x:v>Email</x:v>
      </x:c>
      <x:c r="E154" s="14" t="str">
        <x:v>Lead Gen</x:v>
      </x:c>
      <x:c r="F154" s="14" t="str">
        <x:v>B2B</x:v>
      </x:c>
      <x:c r="G154" s="14" t="str">
        <x:v>East</x:v>
      </x:c>
      <x:c r="H154" s="14" t="n">
        <x:v>1027787</x:v>
      </x:c>
      <x:c r="I154" s="14" t="n">
        <x:v>50830</x:v>
      </x:c>
      <x:c r="J154" s="14" t="n">
        <x:v>5727</x:v>
      </x:c>
      <x:c r="K154" s="14" t="n">
        <x:v>1003</x:v>
      </x:c>
      <x:c r="L154" s="15" t="n">
        <x:v>24915.35</x:v>
      </x:c>
      <x:c r="M154" s="15" t="n">
        <x:v>235434.78</x:v>
      </x:c>
    </x:row>
    <x:row r="155">
      <x:c r="A155" s="13" t="n">
        <x:v>45931</x:v>
      </x:c>
      <x:c r="B155" s="14" t="str">
        <x:v>CMP013</x:v>
      </x:c>
      <x:c r="C155" s="14" t="str">
        <x:v>Email_LeadGen_03</x:v>
      </x:c>
      <x:c r="D155" s="14" t="str">
        <x:v>Email</x:v>
      </x:c>
      <x:c r="E155" s="14" t="str">
        <x:v>Lead Gen</x:v>
      </x:c>
      <x:c r="F155" s="14" t="str">
        <x:v>B2B</x:v>
      </x:c>
      <x:c r="G155" s="14" t="str">
        <x:v>East</x:v>
      </x:c>
      <x:c r="H155" s="14" t="n">
        <x:v>898173</x:v>
      </x:c>
      <x:c r="I155" s="14" t="n">
        <x:v>53811</x:v>
      </x:c>
      <x:c r="J155" s="14" t="n">
        <x:v>5417</x:v>
      </x:c>
      <x:c r="K155" s="14" t="n">
        <x:v>1045</x:v>
      </x:c>
      <x:c r="L155" s="15" t="n">
        <x:v>23753.89</x:v>
      </x:c>
      <x:c r="M155" s="15" t="n">
        <x:v>244004.9</x:v>
      </x:c>
    </x:row>
    <x:row r="156">
      <x:c r="A156" s="13" t="n">
        <x:v>45962</x:v>
      </x:c>
      <x:c r="B156" s="14" t="str">
        <x:v>CMP013</x:v>
      </x:c>
      <x:c r="C156" s="14" t="str">
        <x:v>Email_LeadGen_03</x:v>
      </x:c>
      <x:c r="D156" s="14" t="str">
        <x:v>Email</x:v>
      </x:c>
      <x:c r="E156" s="14" t="str">
        <x:v>Lead Gen</x:v>
      </x:c>
      <x:c r="F156" s="14" t="str">
        <x:v>B2B</x:v>
      </x:c>
      <x:c r="G156" s="14" t="str">
        <x:v>East</x:v>
      </x:c>
      <x:c r="H156" s="14" t="n">
        <x:v>1054638</x:v>
      </x:c>
      <x:c r="I156" s="14" t="n">
        <x:v>58436</x:v>
      </x:c>
      <x:c r="J156" s="14" t="n">
        <x:v>6608</x:v>
      </x:c>
      <x:c r="K156" s="14" t="n">
        <x:v>1033</x:v>
      </x:c>
      <x:c r="L156" s="15" t="n">
        <x:v>26881.43</x:v>
      </x:c>
      <x:c r="M156" s="15" t="n">
        <x:v>212980.77</x:v>
      </x:c>
    </x:row>
    <x:row r="157">
      <x:c r="A157" s="13" t="n">
        <x:v>45992</x:v>
      </x:c>
      <x:c r="B157" s="14" t="str">
        <x:v>CMP013</x:v>
      </x:c>
      <x:c r="C157" s="14" t="str">
        <x:v>Email_LeadGen_03</x:v>
      </x:c>
      <x:c r="D157" s="14" t="str">
        <x:v>Email</x:v>
      </x:c>
      <x:c r="E157" s="14" t="str">
        <x:v>Lead Gen</x:v>
      </x:c>
      <x:c r="F157" s="14" t="str">
        <x:v>B2B</x:v>
      </x:c>
      <x:c r="G157" s="14" t="str">
        <x:v>East</x:v>
      </x:c>
      <x:c r="H157" s="14" t="n">
        <x:v>796120</x:v>
      </x:c>
      <x:c r="I157" s="14" t="n">
        <x:v>35449</x:v>
      </x:c>
      <x:c r="J157" s="14" t="n">
        <x:v>3441</x:v>
      </x:c>
      <x:c r="K157" s="14" t="n">
        <x:v>645</x:v>
      </x:c>
      <x:c r="L157" s="15" t="n">
        <x:v>22903.77</x:v>
      </x:c>
      <x:c r="M157" s="15" t="n">
        <x:v>143028.09</x:v>
      </x:c>
    </x:row>
    <x:row r="158">
      <x:c r="A158" s="13" t="n">
        <x:v>45658</x:v>
      </x:c>
      <x:c r="B158" s="14" t="str">
        <x:v>CMP014</x:v>
      </x:c>
      <x:c r="C158" s="14" t="str">
        <x:v>Email_Retargeting_04</x:v>
      </x:c>
      <x:c r="D158" s="14" t="str">
        <x:v>Email</x:v>
      </x:c>
      <x:c r="E158" s="14" t="str">
        <x:v>Retargeting</x:v>
      </x:c>
      <x:c r="F158" s="14" t="str">
        <x:v>Consumer</x:v>
      </x:c>
      <x:c r="G158" s="14" t="str">
        <x:v>South</x:v>
      </x:c>
      <x:c r="H158" s="14" t="n">
        <x:v>821104</x:v>
      </x:c>
      <x:c r="I158" s="14" t="n">
        <x:v>44366</x:v>
      </x:c>
      <x:c r="J158" s="14" t="n">
        <x:v>5528</x:v>
      </x:c>
      <x:c r="K158" s="14" t="n">
        <x:v>934</x:v>
      </x:c>
      <x:c r="L158" s="15" t="n">
        <x:v>22209.58</x:v>
      </x:c>
      <x:c r="M158" s="15" t="n">
        <x:v>228036.85</x:v>
      </x:c>
    </x:row>
    <x:row r="159">
      <x:c r="A159" s="13" t="n">
        <x:v>45689</x:v>
      </x:c>
      <x:c r="B159" s="14" t="str">
        <x:v>CMP014</x:v>
      </x:c>
      <x:c r="C159" s="14" t="str">
        <x:v>Email_Retargeting_04</x:v>
      </x:c>
      <x:c r="D159" s="14" t="str">
        <x:v>Email</x:v>
      </x:c>
      <x:c r="E159" s="14" t="str">
        <x:v>Retargeting</x:v>
      </x:c>
      <x:c r="F159" s="14" t="str">
        <x:v>Consumer</x:v>
      </x:c>
      <x:c r="G159" s="14" t="str">
        <x:v>South</x:v>
      </x:c>
      <x:c r="H159" s="14" t="n">
        <x:v>804261</x:v>
      </x:c>
      <x:c r="I159" s="14" t="n">
        <x:v>37755</x:v>
      </x:c>
      <x:c r="J159" s="14" t="n">
        <x:v>3861</x:v>
      </x:c>
      <x:c r="K159" s="14" t="n">
        <x:v>853</x:v>
      </x:c>
      <x:c r="L159" s="15" t="n">
        <x:v>19873.66</x:v>
      </x:c>
      <x:c r="M159" s="15" t="n">
        <x:v>195302.4</x:v>
      </x:c>
    </x:row>
    <x:row r="160">
      <x:c r="A160" s="13" t="n">
        <x:v>45717</x:v>
      </x:c>
      <x:c r="B160" s="14" t="str">
        <x:v>CMP014</x:v>
      </x:c>
      <x:c r="C160" s="14" t="str">
        <x:v>Email_Retargeting_04</x:v>
      </x:c>
      <x:c r="D160" s="14" t="str">
        <x:v>Email</x:v>
      </x:c>
      <x:c r="E160" s="14" t="str">
        <x:v>Retargeting</x:v>
      </x:c>
      <x:c r="F160" s="14" t="str">
        <x:v>Consumer</x:v>
      </x:c>
      <x:c r="G160" s="14" t="str">
        <x:v>South</x:v>
      </x:c>
      <x:c r="H160" s="14" t="n">
        <x:v>1001692</x:v>
      </x:c>
      <x:c r="I160" s="14" t="n">
        <x:v>43740</x:v>
      </x:c>
      <x:c r="J160" s="14" t="n">
        <x:v>4326</x:v>
      </x:c>
      <x:c r="K160" s="14" t="n">
        <x:v>952</x:v>
      </x:c>
      <x:c r="L160" s="15" t="n">
        <x:v>25957.15</x:v>
      </x:c>
      <x:c r="M160" s="15" t="n">
        <x:v>244018.04</x:v>
      </x:c>
    </x:row>
    <x:row r="161">
      <x:c r="A161" s="13" t="n">
        <x:v>45748</x:v>
      </x:c>
      <x:c r="B161" s="14" t="str">
        <x:v>CMP014</x:v>
      </x:c>
      <x:c r="C161" s="14" t="str">
        <x:v>Email_Retargeting_04</x:v>
      </x:c>
      <x:c r="D161" s="14" t="str">
        <x:v>Email</x:v>
      </x:c>
      <x:c r="E161" s="14" t="str">
        <x:v>Retargeting</x:v>
      </x:c>
      <x:c r="F161" s="14" t="str">
        <x:v>Consumer</x:v>
      </x:c>
      <x:c r="G161" s="14" t="str">
        <x:v>South</x:v>
      </x:c>
      <x:c r="H161" s="14" t="n">
        <x:v>1168823</x:v>
      </x:c>
      <x:c r="I161" s="14" t="n">
        <x:v>54346</x:v>
      </x:c>
      <x:c r="J161" s="14" t="n">
        <x:v>6141</x:v>
      </x:c>
      <x:c r="K161" s="14" t="n">
        <x:v>1352</x:v>
      </x:c>
      <x:c r="L161" s="15" t="n">
        <x:v>26402.17</x:v>
      </x:c>
      <x:c r="M161" s="15" t="n">
        <x:v>289408.06</x:v>
      </x:c>
    </x:row>
    <x:row r="162">
      <x:c r="A162" s="13" t="n">
        <x:v>45778</x:v>
      </x:c>
      <x:c r="B162" s="14" t="str">
        <x:v>CMP014</x:v>
      </x:c>
      <x:c r="C162" s="14" t="str">
        <x:v>Email_Retargeting_04</x:v>
      </x:c>
      <x:c r="D162" s="14" t="str">
        <x:v>Email</x:v>
      </x:c>
      <x:c r="E162" s="14" t="str">
        <x:v>Retargeting</x:v>
      </x:c>
      <x:c r="F162" s="14" t="str">
        <x:v>Consumer</x:v>
      </x:c>
      <x:c r="G162" s="14" t="str">
        <x:v>South</x:v>
      </x:c>
      <x:c r="H162" s="14" t="n">
        <x:v>793783</x:v>
      </x:c>
      <x:c r="I162" s="14" t="n">
        <x:v>45429</x:v>
      </x:c>
      <x:c r="J162" s="14" t="n">
        <x:v>4369</x:v>
      </x:c>
      <x:c r="K162" s="14" t="n">
        <x:v>916</x:v>
      </x:c>
      <x:c r="L162" s="15" t="n">
        <x:v>22210.69</x:v>
      </x:c>
      <x:c r="M162" s="15" t="n">
        <x:v>217778.94</x:v>
      </x:c>
    </x:row>
    <x:row r="163">
      <x:c r="A163" s="13" t="n">
        <x:v>45809</x:v>
      </x:c>
      <x:c r="B163" s="14" t="str">
        <x:v>CMP014</x:v>
      </x:c>
      <x:c r="C163" s="14" t="str">
        <x:v>Email_Retargeting_04</x:v>
      </x:c>
      <x:c r="D163" s="14" t="str">
        <x:v>Email</x:v>
      </x:c>
      <x:c r="E163" s="14" t="str">
        <x:v>Retargeting</x:v>
      </x:c>
      <x:c r="F163" s="14" t="str">
        <x:v>Consumer</x:v>
      </x:c>
      <x:c r="G163" s="14" t="str">
        <x:v>South</x:v>
      </x:c>
      <x:c r="H163" s="14" t="n">
        <x:v>930553</x:v>
      </x:c>
      <x:c r="I163" s="14" t="n">
        <x:v>43630</x:v>
      </x:c>
      <x:c r="J163" s="14" t="n">
        <x:v>5158</x:v>
      </x:c>
      <x:c r="K163" s="14" t="n">
        <x:v>1066</x:v>
      </x:c>
      <x:c r="L163" s="15" t="n">
        <x:v>25054.57</x:v>
      </x:c>
      <x:c r="M163" s="15" t="n">
        <x:v>255536.16</x:v>
      </x:c>
    </x:row>
    <x:row r="164">
      <x:c r="A164" s="13" t="n">
        <x:v>45839</x:v>
      </x:c>
      <x:c r="B164" s="14" t="str">
        <x:v>CMP014</x:v>
      </x:c>
      <x:c r="C164" s="14" t="str">
        <x:v>Email_Retargeting_04</x:v>
      </x:c>
      <x:c r="D164" s="14" t="str">
        <x:v>Email</x:v>
      </x:c>
      <x:c r="E164" s="14" t="str">
        <x:v>Retargeting</x:v>
      </x:c>
      <x:c r="F164" s="14" t="str">
        <x:v>Consumer</x:v>
      </x:c>
      <x:c r="G164" s="14" t="str">
        <x:v>South</x:v>
      </x:c>
      <x:c r="H164" s="14" t="n">
        <x:v>764213</x:v>
      </x:c>
      <x:c r="I164" s="14" t="n">
        <x:v>46599</x:v>
      </x:c>
      <x:c r="J164" s="14" t="n">
        <x:v>5086</x:v>
      </x:c>
      <x:c r="K164" s="14" t="n">
        <x:v>1055</x:v>
      </x:c>
      <x:c r="L164" s="15" t="n">
        <x:v>21361.29</x:v>
      </x:c>
      <x:c r="M164" s="15" t="n">
        <x:v>228777.74</x:v>
      </x:c>
    </x:row>
    <x:row r="165">
      <x:c r="A165" s="13" t="n">
        <x:v>45870</x:v>
      </x:c>
      <x:c r="B165" s="14" t="str">
        <x:v>CMP014</x:v>
      </x:c>
      <x:c r="C165" s="14" t="str">
        <x:v>Email_Retargeting_04</x:v>
      </x:c>
      <x:c r="D165" s="14" t="str">
        <x:v>Email</x:v>
      </x:c>
      <x:c r="E165" s="14" t="str">
        <x:v>Retargeting</x:v>
      </x:c>
      <x:c r="F165" s="14" t="str">
        <x:v>Consumer</x:v>
      </x:c>
      <x:c r="G165" s="14" t="str">
        <x:v>South</x:v>
      </x:c>
      <x:c r="H165" s="14" t="n">
        <x:v>1080593</x:v>
      </x:c>
      <x:c r="I165" s="14" t="n">
        <x:v>53192</x:v>
      </x:c>
      <x:c r="J165" s="14" t="n">
        <x:v>6318</x:v>
      </x:c>
      <x:c r="K165" s="14" t="n">
        <x:v>1212</x:v>
      </x:c>
      <x:c r="L165" s="15" t="n">
        <x:v>24669.81</x:v>
      </x:c>
      <x:c r="M165" s="15" t="n">
        <x:v>257455.88</x:v>
      </x:c>
    </x:row>
    <x:row r="166">
      <x:c r="A166" s="13" t="n">
        <x:v>45901</x:v>
      </x:c>
      <x:c r="B166" s="14" t="str">
        <x:v>CMP014</x:v>
      </x:c>
      <x:c r="C166" s="14" t="str">
        <x:v>Email_Retargeting_04</x:v>
      </x:c>
      <x:c r="D166" s="14" t="str">
        <x:v>Email</x:v>
      </x:c>
      <x:c r="E166" s="14" t="str">
        <x:v>Retargeting</x:v>
      </x:c>
      <x:c r="F166" s="14" t="str">
        <x:v>Consumer</x:v>
      </x:c>
      <x:c r="G166" s="14" t="str">
        <x:v>South</x:v>
      </x:c>
      <x:c r="H166" s="14" t="n">
        <x:v>961065</x:v>
      </x:c>
      <x:c r="I166" s="14" t="n">
        <x:v>48434</x:v>
      </x:c>
      <x:c r="J166" s="14" t="n">
        <x:v>4486</x:v>
      </x:c>
      <x:c r="K166" s="14" t="n">
        <x:v>686</x:v>
      </x:c>
      <x:c r="L166" s="15" t="n">
        <x:v>21911.86</x:v>
      </x:c>
      <x:c r="M166" s="15" t="n">
        <x:v>159678.07</x:v>
      </x:c>
    </x:row>
    <x:row r="167">
      <x:c r="A167" s="13" t="n">
        <x:v>45931</x:v>
      </x:c>
      <x:c r="B167" s="14" t="str">
        <x:v>CMP014</x:v>
      </x:c>
      <x:c r="C167" s="14" t="str">
        <x:v>Email_Retargeting_04</x:v>
      </x:c>
      <x:c r="D167" s="14" t="str">
        <x:v>Email</x:v>
      </x:c>
      <x:c r="E167" s="14" t="str">
        <x:v>Retargeting</x:v>
      </x:c>
      <x:c r="F167" s="14" t="str">
        <x:v>Consumer</x:v>
      </x:c>
      <x:c r="G167" s="14" t="str">
        <x:v>South</x:v>
      </x:c>
      <x:c r="H167" s="14" t="n">
        <x:v>918703</x:v>
      </x:c>
      <x:c r="I167" s="14" t="n">
        <x:v>46832</x:v>
      </x:c>
      <x:c r="J167" s="14" t="n">
        <x:v>4534</x:v>
      </x:c>
      <x:c r="K167" s="14" t="n">
        <x:v>879</x:v>
      </x:c>
      <x:c r="L167" s="15" t="n">
        <x:v>23524.14</x:v>
      </x:c>
      <x:c r="M167" s="15" t="n">
        <x:v>216136.88</x:v>
      </x:c>
    </x:row>
    <x:row r="168">
      <x:c r="A168" s="13" t="n">
        <x:v>45962</x:v>
      </x:c>
      <x:c r="B168" s="14" t="str">
        <x:v>CMP014</x:v>
      </x:c>
      <x:c r="C168" s="14" t="str">
        <x:v>Email_Retargeting_04</x:v>
      </x:c>
      <x:c r="D168" s="14" t="str">
        <x:v>Email</x:v>
      </x:c>
      <x:c r="E168" s="14" t="str">
        <x:v>Retargeting</x:v>
      </x:c>
      <x:c r="F168" s="14" t="str">
        <x:v>Consumer</x:v>
      </x:c>
      <x:c r="G168" s="14" t="str">
        <x:v>South</x:v>
      </x:c>
      <x:c r="H168" s="14" t="n">
        <x:v>1150495</x:v>
      </x:c>
      <x:c r="I168" s="14" t="n">
        <x:v>55417</x:v>
      </x:c>
      <x:c r="J168" s="14" t="n">
        <x:v>6270</x:v>
      </x:c>
      <x:c r="K168" s="14" t="n">
        <x:v>944</x:v>
      </x:c>
      <x:c r="L168" s="15" t="n">
        <x:v>29910.44</x:v>
      </x:c>
      <x:c r="M168" s="15" t="n">
        <x:v>244168.92</x:v>
      </x:c>
    </x:row>
    <x:row r="169">
      <x:c r="A169" s="13" t="n">
        <x:v>45992</x:v>
      </x:c>
      <x:c r="B169" s="14" t="str">
        <x:v>CMP014</x:v>
      </x:c>
      <x:c r="C169" s="14" t="str">
        <x:v>Email_Retargeting_04</x:v>
      </x:c>
      <x:c r="D169" s="14" t="str">
        <x:v>Email</x:v>
      </x:c>
      <x:c r="E169" s="14" t="str">
        <x:v>Retargeting</x:v>
      </x:c>
      <x:c r="F169" s="14" t="str">
        <x:v>Consumer</x:v>
      </x:c>
      <x:c r="G169" s="14" t="str">
        <x:v>South</x:v>
      </x:c>
      <x:c r="H169" s="14" t="n">
        <x:v>1246686</x:v>
      </x:c>
      <x:c r="I169" s="14" t="n">
        <x:v>55542</x:v>
      </x:c>
      <x:c r="J169" s="14" t="n">
        <x:v>6433</x:v>
      </x:c>
      <x:c r="K169" s="14" t="n">
        <x:v>1165</x:v>
      </x:c>
      <x:c r="L169" s="15" t="n">
        <x:v>30668.13</x:v>
      </x:c>
      <x:c r="M169" s="15" t="n">
        <x:v>295888.46</x:v>
      </x:c>
    </x:row>
    <x:row r="170">
      <x:c r="A170" s="13" t="n">
        <x:v>45658</x:v>
      </x:c>
      <x:c r="B170" s="14" t="str">
        <x:v>CMP015</x:v>
      </x:c>
      <x:c r="C170" s="14" t="str">
        <x:v>Email_Retargeting_05</x:v>
      </x:c>
      <x:c r="D170" s="14" t="str">
        <x:v>Email</x:v>
      </x:c>
      <x:c r="E170" s="14" t="str">
        <x:v>Retargeting</x:v>
      </x:c>
      <x:c r="F170" s="14" t="str">
        <x:v>SMB</x:v>
      </x:c>
      <x:c r="G170" s="14" t="str">
        <x:v>North</x:v>
      </x:c>
      <x:c r="H170" s="14" t="n">
        <x:v>337040</x:v>
      </x:c>
      <x:c r="I170" s="14" t="n">
        <x:v>17540</x:v>
      </x:c>
      <x:c r="J170" s="14" t="n">
        <x:v>1723</x:v>
      </x:c>
      <x:c r="K170" s="14" t="n">
        <x:v>313</x:v>
      </x:c>
      <x:c r="L170" s="15" t="n">
        <x:v>13766.43</x:v>
      </x:c>
      <x:c r="M170" s="15" t="n">
        <x:v>70597.77</x:v>
      </x:c>
    </x:row>
    <x:row r="171">
      <x:c r="A171" s="13" t="n">
        <x:v>45689</x:v>
      </x:c>
      <x:c r="B171" s="14" t="str">
        <x:v>CMP015</x:v>
      </x:c>
      <x:c r="C171" s="14" t="str">
        <x:v>Email_Retargeting_05</x:v>
      </x:c>
      <x:c r="D171" s="14" t="str">
        <x:v>Email</x:v>
      </x:c>
      <x:c r="E171" s="14" t="str">
        <x:v>Retargeting</x:v>
      </x:c>
      <x:c r="F171" s="14" t="str">
        <x:v>SMB</x:v>
      </x:c>
      <x:c r="G171" s="14" t="str">
        <x:v>North</x:v>
      </x:c>
      <x:c r="H171" s="14" t="n">
        <x:v>348009</x:v>
      </x:c>
      <x:c r="I171" s="14" t="n">
        <x:v>18601</x:v>
      </x:c>
      <x:c r="J171" s="14" t="n">
        <x:v>1644</x:v>
      </x:c>
      <x:c r="K171" s="14" t="n">
        <x:v>305</x:v>
      </x:c>
      <x:c r="L171" s="15" t="n">
        <x:v>13695.75</x:v>
      </x:c>
      <x:c r="M171" s="15" t="n">
        <x:v>77155.03</x:v>
      </x:c>
    </x:row>
    <x:row r="172">
      <x:c r="A172" s="13" t="n">
        <x:v>45717</x:v>
      </x:c>
      <x:c r="B172" s="14" t="str">
        <x:v>CMP015</x:v>
      </x:c>
      <x:c r="C172" s="14" t="str">
        <x:v>Email_Retargeting_05</x:v>
      </x:c>
      <x:c r="D172" s="14" t="str">
        <x:v>Email</x:v>
      </x:c>
      <x:c r="E172" s="14" t="str">
        <x:v>Retargeting</x:v>
      </x:c>
      <x:c r="F172" s="14" t="str">
        <x:v>SMB</x:v>
      </x:c>
      <x:c r="G172" s="14" t="str">
        <x:v>North</x:v>
      </x:c>
      <x:c r="H172" s="14" t="n">
        <x:v>335985</x:v>
      </x:c>
      <x:c r="I172" s="14" t="n">
        <x:v>15835</x:v>
      </x:c>
      <x:c r="J172" s="14" t="n">
        <x:v>1853</x:v>
      </x:c>
      <x:c r="K172" s="14" t="n">
        <x:v>313</x:v>
      </x:c>
      <x:c r="L172" s="15" t="n">
        <x:v>14627.42</x:v>
      </x:c>
      <x:c r="M172" s="15" t="n">
        <x:v>78438.36</x:v>
      </x:c>
    </x:row>
    <x:row r="173">
      <x:c r="A173" s="13" t="n">
        <x:v>45748</x:v>
      </x:c>
      <x:c r="B173" s="14" t="str">
        <x:v>CMP015</x:v>
      </x:c>
      <x:c r="C173" s="14" t="str">
        <x:v>Email_Retargeting_05</x:v>
      </x:c>
      <x:c r="D173" s="14" t="str">
        <x:v>Email</x:v>
      </x:c>
      <x:c r="E173" s="14" t="str">
        <x:v>Retargeting</x:v>
      </x:c>
      <x:c r="F173" s="14" t="str">
        <x:v>SMB</x:v>
      </x:c>
      <x:c r="G173" s="14" t="str">
        <x:v>North</x:v>
      </x:c>
      <x:c r="H173" s="14" t="n">
        <x:v>342917</x:v>
      </x:c>
      <x:c r="I173" s="14" t="n">
        <x:v>15461</x:v>
      </x:c>
      <x:c r="J173" s="14" t="n">
        <x:v>1480</x:v>
      </x:c>
      <x:c r="K173" s="14" t="n">
        <x:v>233</x:v>
      </x:c>
      <x:c r="L173" s="15" t="n">
        <x:v>14481.64</x:v>
      </x:c>
      <x:c r="M173" s="15" t="n">
        <x:v>59773.12</x:v>
      </x:c>
    </x:row>
    <x:row r="174">
      <x:c r="A174" s="13" t="n">
        <x:v>45778</x:v>
      </x:c>
      <x:c r="B174" s="14" t="str">
        <x:v>CMP015</x:v>
      </x:c>
      <x:c r="C174" s="14" t="str">
        <x:v>Email_Retargeting_05</x:v>
      </x:c>
      <x:c r="D174" s="14" t="str">
        <x:v>Email</x:v>
      </x:c>
      <x:c r="E174" s="14" t="str">
        <x:v>Retargeting</x:v>
      </x:c>
      <x:c r="F174" s="14" t="str">
        <x:v>SMB</x:v>
      </x:c>
      <x:c r="G174" s="14" t="str">
        <x:v>North</x:v>
      </x:c>
      <x:c r="H174" s="14" t="n">
        <x:v>391081</x:v>
      </x:c>
      <x:c r="I174" s="14" t="n">
        <x:v>16126</x:v>
      </x:c>
      <x:c r="J174" s="14" t="n">
        <x:v>1408</x:v>
      </x:c>
      <x:c r="K174" s="14" t="n">
        <x:v>240</x:v>
      </x:c>
      <x:c r="L174" s="15" t="n">
        <x:v>15556.37</x:v>
      </x:c>
      <x:c r="M174" s="15" t="n">
        <x:v>59209.31</x:v>
      </x:c>
    </x:row>
    <x:row r="175">
      <x:c r="A175" s="13" t="n">
        <x:v>45809</x:v>
      </x:c>
      <x:c r="B175" s="14" t="str">
        <x:v>CMP015</x:v>
      </x:c>
      <x:c r="C175" s="14" t="str">
        <x:v>Email_Retargeting_05</x:v>
      </x:c>
      <x:c r="D175" s="14" t="str">
        <x:v>Email</x:v>
      </x:c>
      <x:c r="E175" s="14" t="str">
        <x:v>Retargeting</x:v>
      </x:c>
      <x:c r="F175" s="14" t="str">
        <x:v>SMB</x:v>
      </x:c>
      <x:c r="G175" s="14" t="str">
        <x:v>North</x:v>
      </x:c>
      <x:c r="H175" s="14" t="n">
        <x:v>401208</x:v>
      </x:c>
      <x:c r="I175" s="14" t="n">
        <x:v>16325</x:v>
      </x:c>
      <x:c r="J175" s="14" t="n">
        <x:v>1951</x:v>
      </x:c>
      <x:c r="K175" s="14" t="n">
        <x:v>350</x:v>
      </x:c>
      <x:c r="L175" s="15" t="n">
        <x:v>14632.81</x:v>
      </x:c>
      <x:c r="M175" s="15" t="n">
        <x:v>85119.1</x:v>
      </x:c>
    </x:row>
    <x:row r="176">
      <x:c r="A176" s="13" t="n">
        <x:v>45839</x:v>
      </x:c>
      <x:c r="B176" s="14" t="str">
        <x:v>CMP015</x:v>
      </x:c>
      <x:c r="C176" s="14" t="str">
        <x:v>Email_Retargeting_05</x:v>
      </x:c>
      <x:c r="D176" s="14" t="str">
        <x:v>Email</x:v>
      </x:c>
      <x:c r="E176" s="14" t="str">
        <x:v>Retargeting</x:v>
      </x:c>
      <x:c r="F176" s="14" t="str">
        <x:v>SMB</x:v>
      </x:c>
      <x:c r="G176" s="14" t="str">
        <x:v>North</x:v>
      </x:c>
      <x:c r="H176" s="14" t="n">
        <x:v>320546</x:v>
      </x:c>
      <x:c r="I176" s="14" t="n">
        <x:v>17959</x:v>
      </x:c>
      <x:c r="J176" s="14" t="n">
        <x:v>1792</x:v>
      </x:c>
      <x:c r="K176" s="14" t="n">
        <x:v>366</x:v>
      </x:c>
      <x:c r="L176" s="15" t="n">
        <x:v>13980.28</x:v>
      </x:c>
      <x:c r="M176" s="15" t="n">
        <x:v>78360.61</x:v>
      </x:c>
    </x:row>
    <x:row r="177">
      <x:c r="A177" s="13" t="n">
        <x:v>45870</x:v>
      </x:c>
      <x:c r="B177" s="14" t="str">
        <x:v>CMP015</x:v>
      </x:c>
      <x:c r="C177" s="14" t="str">
        <x:v>Email_Retargeting_05</x:v>
      </x:c>
      <x:c r="D177" s="14" t="str">
        <x:v>Email</x:v>
      </x:c>
      <x:c r="E177" s="14" t="str">
        <x:v>Retargeting</x:v>
      </x:c>
      <x:c r="F177" s="14" t="str">
        <x:v>SMB</x:v>
      </x:c>
      <x:c r="G177" s="14" t="str">
        <x:v>North</x:v>
      </x:c>
      <x:c r="H177" s="14" t="n">
        <x:v>336875</x:v>
      </x:c>
      <x:c r="I177" s="14" t="n">
        <x:v>13963</x:v>
      </x:c>
      <x:c r="J177" s="14" t="n">
        <x:v>1437</x:v>
      </x:c>
      <x:c r="K177" s="14" t="n">
        <x:v>217</x:v>
      </x:c>
      <x:c r="L177" s="15" t="n">
        <x:v>12876.5</x:v>
      </x:c>
      <x:c r="M177" s="15" t="n">
        <x:v>50856.6</x:v>
      </x:c>
    </x:row>
    <x:row r="178">
      <x:c r="A178" s="13" t="n">
        <x:v>45901</x:v>
      </x:c>
      <x:c r="B178" s="14" t="str">
        <x:v>CMP015</x:v>
      </x:c>
      <x:c r="C178" s="14" t="str">
        <x:v>Email_Retargeting_05</x:v>
      </x:c>
      <x:c r="D178" s="14" t="str">
        <x:v>Email</x:v>
      </x:c>
      <x:c r="E178" s="14" t="str">
        <x:v>Retargeting</x:v>
      </x:c>
      <x:c r="F178" s="14" t="str">
        <x:v>SMB</x:v>
      </x:c>
      <x:c r="G178" s="14" t="str">
        <x:v>North</x:v>
      </x:c>
      <x:c r="H178" s="14" t="n">
        <x:v>426846</x:v>
      </x:c>
      <x:c r="I178" s="14" t="n">
        <x:v>21055</x:v>
      </x:c>
      <x:c r="J178" s="14" t="n">
        <x:v>1862</x:v>
      </x:c>
      <x:c r="K178" s="14" t="n">
        <x:v>297</x:v>
      </x:c>
      <x:c r="L178" s="15" t="n">
        <x:v>16469.96</x:v>
      </x:c>
      <x:c r="M178" s="15" t="n">
        <x:v>66028.6</x:v>
      </x:c>
    </x:row>
    <x:row r="179">
      <x:c r="A179" s="13" t="n">
        <x:v>45931</x:v>
      </x:c>
      <x:c r="B179" s="14" t="str">
        <x:v>CMP015</x:v>
      </x:c>
      <x:c r="C179" s="14" t="str">
        <x:v>Email_Retargeting_05</x:v>
      </x:c>
      <x:c r="D179" s="14" t="str">
        <x:v>Email</x:v>
      </x:c>
      <x:c r="E179" s="14" t="str">
        <x:v>Retargeting</x:v>
      </x:c>
      <x:c r="F179" s="14" t="str">
        <x:v>SMB</x:v>
      </x:c>
      <x:c r="G179" s="14" t="str">
        <x:v>North</x:v>
      </x:c>
      <x:c r="H179" s="14" t="n">
        <x:v>370570</x:v>
      </x:c>
      <x:c r="I179" s="14" t="n">
        <x:v>19641</x:v>
      </x:c>
      <x:c r="J179" s="14" t="n">
        <x:v>2105</x:v>
      </x:c>
      <x:c r="K179" s="14" t="n">
        <x:v>394</x:v>
      </x:c>
      <x:c r="L179" s="15" t="n">
        <x:v>15049.09</x:v>
      </x:c>
      <x:c r="M179" s="15" t="n">
        <x:v>93720.4</x:v>
      </x:c>
    </x:row>
    <x:row r="180">
      <x:c r="A180" s="13" t="n">
        <x:v>45962</x:v>
      </x:c>
      <x:c r="B180" s="14" t="str">
        <x:v>CMP015</x:v>
      </x:c>
      <x:c r="C180" s="14" t="str">
        <x:v>Email_Retargeting_05</x:v>
      </x:c>
      <x:c r="D180" s="14" t="str">
        <x:v>Email</x:v>
      </x:c>
      <x:c r="E180" s="14" t="str">
        <x:v>Retargeting</x:v>
      </x:c>
      <x:c r="F180" s="14" t="str">
        <x:v>SMB</x:v>
      </x:c>
      <x:c r="G180" s="14" t="str">
        <x:v>North</x:v>
      </x:c>
      <x:c r="H180" s="14" t="n">
        <x:v>412287</x:v>
      </x:c>
      <x:c r="I180" s="14" t="n">
        <x:v>21322</x:v>
      </x:c>
      <x:c r="J180" s="14" t="n">
        <x:v>1818</x:v>
      </x:c>
      <x:c r="K180" s="14" t="n">
        <x:v>289</x:v>
      </x:c>
      <x:c r="L180" s="15" t="n">
        <x:v>17126.89</x:v>
      </x:c>
      <x:c r="M180" s="15" t="n">
        <x:v>71540.14</x:v>
      </x:c>
    </x:row>
    <x:row r="181">
      <x:c r="A181" s="13" t="n">
        <x:v>45992</x:v>
      </x:c>
      <x:c r="B181" s="14" t="str">
        <x:v>CMP015</x:v>
      </x:c>
      <x:c r="C181" s="14" t="str">
        <x:v>Email_Retargeting_05</x:v>
      </x:c>
      <x:c r="D181" s="14" t="str">
        <x:v>Email</x:v>
      </x:c>
      <x:c r="E181" s="14" t="str">
        <x:v>Retargeting</x:v>
      </x:c>
      <x:c r="F181" s="14" t="str">
        <x:v>SMB</x:v>
      </x:c>
      <x:c r="G181" s="14" t="str">
        <x:v>North</x:v>
      </x:c>
      <x:c r="H181" s="14" t="n">
        <x:v>507818</x:v>
      </x:c>
      <x:c r="I181" s="14" t="n">
        <x:v>21736</x:v>
      </x:c>
      <x:c r="J181" s="14" t="n">
        <x:v>1945</x:v>
      </x:c>
      <x:c r="K181" s="14" t="n">
        <x:v>362</x:v>
      </x:c>
      <x:c r="L181" s="15" t="n">
        <x:v>19598.69</x:v>
      </x:c>
      <x:c r="M181" s="15" t="n">
        <x:v>77813.09</x:v>
      </x:c>
    </x:row>
    <x:row r="182">
      <x:c r="A182" s="13" t="n">
        <x:v>45658</x:v>
      </x:c>
      <x:c r="B182" s="14" t="str">
        <x:v>CMP016</x:v>
      </x:c>
      <x:c r="C182" s="14" t="str">
        <x:v>Affiliate_LeadGen_01</x:v>
      </x:c>
      <x:c r="D182" s="14" t="str">
        <x:v>Affiliate</x:v>
      </x:c>
      <x:c r="E182" s="14" t="str">
        <x:v>Lead Gen</x:v>
      </x:c>
      <x:c r="F182" s="14" t="str">
        <x:v>B2B</x:v>
      </x:c>
      <x:c r="G182" s="14" t="str">
        <x:v>North</x:v>
      </x:c>
      <x:c r="H182" s="14" t="n">
        <x:v>592714</x:v>
      </x:c>
      <x:c r="I182" s="14" t="n">
        <x:v>16059</x:v>
      </x:c>
      <x:c r="J182" s="14" t="n">
        <x:v>1323</x:v>
      </x:c>
      <x:c r="K182" s="14" t="n">
        <x:v>250</x:v>
      </x:c>
      <x:c r="L182" s="15" t="n">
        <x:v>26866.16</x:v>
      </x:c>
      <x:c r="M182" s="15" t="n">
        <x:v>185216.93</x:v>
      </x:c>
    </x:row>
    <x:row r="183">
      <x:c r="A183" s="13" t="n">
        <x:v>45689</x:v>
      </x:c>
      <x:c r="B183" s="14" t="str">
        <x:v>CMP016</x:v>
      </x:c>
      <x:c r="C183" s="14" t="str">
        <x:v>Affiliate_LeadGen_01</x:v>
      </x:c>
      <x:c r="D183" s="14" t="str">
        <x:v>Affiliate</x:v>
      </x:c>
      <x:c r="E183" s="14" t="str">
        <x:v>Lead Gen</x:v>
      </x:c>
      <x:c r="F183" s="14" t="str">
        <x:v>B2B</x:v>
      </x:c>
      <x:c r="G183" s="14" t="str">
        <x:v>North</x:v>
      </x:c>
      <x:c r="H183" s="14" t="n">
        <x:v>749408</x:v>
      </x:c>
      <x:c r="I183" s="14" t="n">
        <x:v>18069</x:v>
      </x:c>
      <x:c r="J183" s="14" t="n">
        <x:v>1370</x:v>
      </x:c>
      <x:c r="K183" s="14" t="n">
        <x:v>249</x:v>
      </x:c>
      <x:c r="L183" s="15" t="n">
        <x:v>31185.04</x:v>
      </x:c>
      <x:c r="M183" s="15" t="n">
        <x:v>180879.88</x:v>
      </x:c>
    </x:row>
    <x:row r="184">
      <x:c r="A184" s="13" t="n">
        <x:v>45717</x:v>
      </x:c>
      <x:c r="B184" s="14" t="str">
        <x:v>CMP016</x:v>
      </x:c>
      <x:c r="C184" s="14" t="str">
        <x:v>Affiliate_LeadGen_01</x:v>
      </x:c>
      <x:c r="D184" s="14" t="str">
        <x:v>Affiliate</x:v>
      </x:c>
      <x:c r="E184" s="14" t="str">
        <x:v>Lead Gen</x:v>
      </x:c>
      <x:c r="F184" s="14" t="str">
        <x:v>B2B</x:v>
      </x:c>
      <x:c r="G184" s="14" t="str">
        <x:v>North</x:v>
      </x:c>
      <x:c r="H184" s="14" t="n">
        <x:v>620420</x:v>
      </x:c>
      <x:c r="I184" s="14" t="n">
        <x:v>17739</x:v>
      </x:c>
      <x:c r="J184" s="14" t="n">
        <x:v>1502</x:v>
      </x:c>
      <x:c r="K184" s="14" t="n">
        <x:v>237</x:v>
      </x:c>
      <x:c r="L184" s="15" t="n">
        <x:v>29788.11</x:v>
      </x:c>
      <x:c r="M184" s="15" t="n">
        <x:v>174857.18</x:v>
      </x:c>
    </x:row>
    <x:row r="185">
      <x:c r="A185" s="13" t="n">
        <x:v>45748</x:v>
      </x:c>
      <x:c r="B185" s="14" t="str">
        <x:v>CMP016</x:v>
      </x:c>
      <x:c r="C185" s="14" t="str">
        <x:v>Affiliate_LeadGen_01</x:v>
      </x:c>
      <x:c r="D185" s="14" t="str">
        <x:v>Affiliate</x:v>
      </x:c>
      <x:c r="E185" s="14" t="str">
        <x:v>Lead Gen</x:v>
      </x:c>
      <x:c r="F185" s="14" t="str">
        <x:v>B2B</x:v>
      </x:c>
      <x:c r="G185" s="14" t="str">
        <x:v>North</x:v>
      </x:c>
      <x:c r="H185" s="14" t="n">
        <x:v>644533</x:v>
      </x:c>
      <x:c r="I185" s="14" t="n">
        <x:v>17078</x:v>
      </x:c>
      <x:c r="J185" s="14" t="n">
        <x:v>1572</x:v>
      </x:c>
      <x:c r="K185" s="14" t="n">
        <x:v>271</x:v>
      </x:c>
      <x:c r="L185" s="15" t="n">
        <x:v>29287.04</x:v>
      </x:c>
      <x:c r="M185" s="15" t="n">
        <x:v>196601.13</x:v>
      </x:c>
    </x:row>
    <x:row r="186">
      <x:c r="A186" s="13" t="n">
        <x:v>45778</x:v>
      </x:c>
      <x:c r="B186" s="14" t="str">
        <x:v>CMP016</x:v>
      </x:c>
      <x:c r="C186" s="14" t="str">
        <x:v>Affiliate_LeadGen_01</x:v>
      </x:c>
      <x:c r="D186" s="14" t="str">
        <x:v>Affiliate</x:v>
      </x:c>
      <x:c r="E186" s="14" t="str">
        <x:v>Lead Gen</x:v>
      </x:c>
      <x:c r="F186" s="14" t="str">
        <x:v>B2B</x:v>
      </x:c>
      <x:c r="G186" s="14" t="str">
        <x:v>North</x:v>
      </x:c>
      <x:c r="H186" s="14" t="n">
        <x:v>621609</x:v>
      </x:c>
      <x:c r="I186" s="14" t="n">
        <x:v>18504</x:v>
      </x:c>
      <x:c r="J186" s="14" t="n">
        <x:v>1316</x:v>
      </x:c>
      <x:c r="K186" s="14" t="n">
        <x:v>210</x:v>
      </x:c>
      <x:c r="L186" s="15" t="n">
        <x:v>28006.47</x:v>
      </x:c>
      <x:c r="M186" s="15" t="n">
        <x:v>138906.02</x:v>
      </x:c>
    </x:row>
    <x:row r="187">
      <x:c r="A187" s="13" t="n">
        <x:v>45809</x:v>
      </x:c>
      <x:c r="B187" s="14" t="str">
        <x:v>CMP016</x:v>
      </x:c>
      <x:c r="C187" s="14" t="str">
        <x:v>Affiliate_LeadGen_01</x:v>
      </x:c>
      <x:c r="D187" s="14" t="str">
        <x:v>Affiliate</x:v>
      </x:c>
      <x:c r="E187" s="14" t="str">
        <x:v>Lead Gen</x:v>
      </x:c>
      <x:c r="F187" s="14" t="str">
        <x:v>B2B</x:v>
      </x:c>
      <x:c r="G187" s="14" t="str">
        <x:v>North</x:v>
      </x:c>
      <x:c r="H187" s="14" t="n">
        <x:v>692004</x:v>
      </x:c>
      <x:c r="I187" s="14" t="n">
        <x:v>18657</x:v>
      </x:c>
      <x:c r="J187" s="14" t="n">
        <x:v>1327</x:v>
      </x:c>
      <x:c r="K187" s="14" t="n">
        <x:v>253</x:v>
      </x:c>
      <x:c r="L187" s="15" t="n">
        <x:v>30105.48</x:v>
      </x:c>
      <x:c r="M187" s="15" t="n">
        <x:v>166086.29</x:v>
      </x:c>
    </x:row>
    <x:row r="188">
      <x:c r="A188" s="13" t="n">
        <x:v>45839</x:v>
      </x:c>
      <x:c r="B188" s="14" t="str">
        <x:v>CMP016</x:v>
      </x:c>
      <x:c r="C188" s="14" t="str">
        <x:v>Affiliate_LeadGen_01</x:v>
      </x:c>
      <x:c r="D188" s="14" t="str">
        <x:v>Affiliate</x:v>
      </x:c>
      <x:c r="E188" s="14" t="str">
        <x:v>Lead Gen</x:v>
      </x:c>
      <x:c r="F188" s="14" t="str">
        <x:v>B2B</x:v>
      </x:c>
      <x:c r="G188" s="14" t="str">
        <x:v>North</x:v>
      </x:c>
      <x:c r="H188" s="14" t="n">
        <x:v>637426</x:v>
      </x:c>
      <x:c r="I188" s="14" t="n">
        <x:v>18321</x:v>
      </x:c>
      <x:c r="J188" s="14" t="n">
        <x:v>1774</x:v>
      </x:c>
      <x:c r="K188" s="14" t="n">
        <x:v>345</x:v>
      </x:c>
      <x:c r="L188" s="15" t="n">
        <x:v>30899.65</x:v>
      </x:c>
      <x:c r="M188" s="15" t="n">
        <x:v>221462.19</x:v>
      </x:c>
    </x:row>
    <x:row r="189">
      <x:c r="A189" s="13" t="n">
        <x:v>45870</x:v>
      </x:c>
      <x:c r="B189" s="14" t="str">
        <x:v>CMP016</x:v>
      </x:c>
      <x:c r="C189" s="14" t="str">
        <x:v>Affiliate_LeadGen_01</x:v>
      </x:c>
      <x:c r="D189" s="14" t="str">
        <x:v>Affiliate</x:v>
      </x:c>
      <x:c r="E189" s="14" t="str">
        <x:v>Lead Gen</x:v>
      </x:c>
      <x:c r="F189" s="14" t="str">
        <x:v>B2B</x:v>
      </x:c>
      <x:c r="G189" s="14" t="str">
        <x:v>North</x:v>
      </x:c>
      <x:c r="H189" s="14" t="n">
        <x:v>836587</x:v>
      </x:c>
      <x:c r="I189" s="14" t="n">
        <x:v>19878</x:v>
      </x:c>
      <x:c r="J189" s="14" t="n">
        <x:v>1979</x:v>
      </x:c>
      <x:c r="K189" s="14" t="n">
        <x:v>393</x:v>
      </x:c>
      <x:c r="L189" s="15" t="n">
        <x:v>34416.99</x:v>
      </x:c>
      <x:c r="M189" s="15" t="n">
        <x:v>280066.18</x:v>
      </x:c>
    </x:row>
    <x:row r="190">
      <x:c r="A190" s="13" t="n">
        <x:v>45901</x:v>
      </x:c>
      <x:c r="B190" s="14" t="str">
        <x:v>CMP016</x:v>
      </x:c>
      <x:c r="C190" s="14" t="str">
        <x:v>Affiliate_LeadGen_01</x:v>
      </x:c>
      <x:c r="D190" s="14" t="str">
        <x:v>Affiliate</x:v>
      </x:c>
      <x:c r="E190" s="14" t="str">
        <x:v>Lead Gen</x:v>
      </x:c>
      <x:c r="F190" s="14" t="str">
        <x:v>B2B</x:v>
      </x:c>
      <x:c r="G190" s="14" t="str">
        <x:v>North</x:v>
      </x:c>
      <x:c r="H190" s="14" t="n">
        <x:v>697825</x:v>
      </x:c>
      <x:c r="I190" s="14" t="n">
        <x:v>19461</x:v>
      </x:c>
      <x:c r="J190" s="14" t="n">
        <x:v>1450</x:v>
      </x:c>
      <x:c r="K190" s="14" t="n">
        <x:v>203</x:v>
      </x:c>
      <x:c r="L190" s="15" t="n">
        <x:v>33872.64</x:v>
      </x:c>
      <x:c r="M190" s="15" t="n">
        <x:v>137511.68</x:v>
      </x:c>
    </x:row>
    <x:row r="191">
      <x:c r="A191" s="13" t="n">
        <x:v>45931</x:v>
      </x:c>
      <x:c r="B191" s="14" t="str">
        <x:v>CMP016</x:v>
      </x:c>
      <x:c r="C191" s="14" t="str">
        <x:v>Affiliate_LeadGen_01</x:v>
      </x:c>
      <x:c r="D191" s="14" t="str">
        <x:v>Affiliate</x:v>
      </x:c>
      <x:c r="E191" s="14" t="str">
        <x:v>Lead Gen</x:v>
      </x:c>
      <x:c r="F191" s="14" t="str">
        <x:v>B2B</x:v>
      </x:c>
      <x:c r="G191" s="14" t="str">
        <x:v>North</x:v>
      </x:c>
      <x:c r="H191" s="14" t="n">
        <x:v>793145</x:v>
      </x:c>
      <x:c r="I191" s="14" t="n">
        <x:v>25520</x:v>
      </x:c>
      <x:c r="J191" s="14" t="n">
        <x:v>2540</x:v>
      </x:c>
      <x:c r="K191" s="14" t="n">
        <x:v>368</x:v>
      </x:c>
      <x:c r="L191" s="15" t="n">
        <x:v>37695.64</x:v>
      </x:c>
      <x:c r="M191" s="15" t="n">
        <x:v>276134.54</x:v>
      </x:c>
    </x:row>
    <x:row r="192">
      <x:c r="A192" s="13" t="n">
        <x:v>45962</x:v>
      </x:c>
      <x:c r="B192" s="14" t="str">
        <x:v>CMP016</x:v>
      </x:c>
      <x:c r="C192" s="14" t="str">
        <x:v>Affiliate_LeadGen_01</x:v>
      </x:c>
      <x:c r="D192" s="14" t="str">
        <x:v>Affiliate</x:v>
      </x:c>
      <x:c r="E192" s="14" t="str">
        <x:v>Lead Gen</x:v>
      </x:c>
      <x:c r="F192" s="14" t="str">
        <x:v>B2B</x:v>
      </x:c>
      <x:c r="G192" s="14" t="str">
        <x:v>North</x:v>
      </x:c>
      <x:c r="H192" s="14" t="n">
        <x:v>718523</x:v>
      </x:c>
      <x:c r="I192" s="14" t="n">
        <x:v>20828</x:v>
      </x:c>
      <x:c r="J192" s="14" t="n">
        <x:v>1733</x:v>
      </x:c>
      <x:c r="K192" s="14" t="n">
        <x:v>277</x:v>
      </x:c>
      <x:c r="L192" s="15" t="n">
        <x:v>33915.95</x:v>
      </x:c>
      <x:c r="M192" s="15" t="n">
        <x:v>188212.54</x:v>
      </x:c>
    </x:row>
    <x:row r="193">
      <x:c r="A193" s="13" t="n">
        <x:v>45992</x:v>
      </x:c>
      <x:c r="B193" s="14" t="str">
        <x:v>CMP016</x:v>
      </x:c>
      <x:c r="C193" s="14" t="str">
        <x:v>Affiliate_LeadGen_01</x:v>
      </x:c>
      <x:c r="D193" s="14" t="str">
        <x:v>Affiliate</x:v>
      </x:c>
      <x:c r="E193" s="14" t="str">
        <x:v>Lead Gen</x:v>
      </x:c>
      <x:c r="F193" s="14" t="str">
        <x:v>B2B</x:v>
      </x:c>
      <x:c r="G193" s="14" t="str">
        <x:v>North</x:v>
      </x:c>
      <x:c r="H193" s="14" t="n">
        <x:v>858059</x:v>
      </x:c>
      <x:c r="I193" s="14" t="n">
        <x:v>24754</x:v>
      </x:c>
      <x:c r="J193" s="14" t="n">
        <x:v>1843</x:v>
      </x:c>
      <x:c r="K193" s="14" t="n">
        <x:v>321</x:v>
      </x:c>
      <x:c r="L193" s="15" t="n">
        <x:v>36497.96</x:v>
      </x:c>
      <x:c r="M193" s="15" t="n">
        <x:v>243636.29</x:v>
      </x:c>
    </x:row>
    <x:row r="194">
      <x:c r="A194" s="13" t="n">
        <x:v>45658</x:v>
      </x:c>
      <x:c r="B194" s="14" t="str">
        <x:v>CMP017</x:v>
      </x:c>
      <x:c r="C194" s="14" t="str">
        <x:v>Affiliate_Retargeting_02</x:v>
      </x:c>
      <x:c r="D194" s="14" t="str">
        <x:v>Affiliate</x:v>
      </x:c>
      <x:c r="E194" s="14" t="str">
        <x:v>Retargeting</x:v>
      </x:c>
      <x:c r="F194" s="14" t="str">
        <x:v>Mid-Market</x:v>
      </x:c>
      <x:c r="G194" s="14" t="str">
        <x:v>South</x:v>
      </x:c>
      <x:c r="H194" s="14" t="n">
        <x:v>326056</x:v>
      </x:c>
      <x:c r="I194" s="14" t="n">
        <x:v>9268</x:v>
      </x:c>
      <x:c r="J194" s="14" t="n">
        <x:v>849</x:v>
      </x:c>
      <x:c r="K194" s="14" t="n">
        <x:v>150</x:v>
      </x:c>
      <x:c r="L194" s="15" t="n">
        <x:v>19140.45</x:v>
      </x:c>
      <x:c r="M194" s="15" t="n">
        <x:v>102148.87</x:v>
      </x:c>
    </x:row>
    <x:row r="195">
      <x:c r="A195" s="13" t="n">
        <x:v>45689</x:v>
      </x:c>
      <x:c r="B195" s="14" t="str">
        <x:v>CMP017</x:v>
      </x:c>
      <x:c r="C195" s="14" t="str">
        <x:v>Affiliate_Retargeting_02</x:v>
      </x:c>
      <x:c r="D195" s="14" t="str">
        <x:v>Affiliate</x:v>
      </x:c>
      <x:c r="E195" s="14" t="str">
        <x:v>Retargeting</x:v>
      </x:c>
      <x:c r="F195" s="14" t="str">
        <x:v>Mid-Market</x:v>
      </x:c>
      <x:c r="G195" s="14" t="str">
        <x:v>South</x:v>
      </x:c>
      <x:c r="H195" s="14" t="n">
        <x:v>383337</x:v>
      </x:c>
      <x:c r="I195" s="14" t="n">
        <x:v>11472</x:v>
      </x:c>
      <x:c r="J195" s="14" t="n">
        <x:v>1051</x:v>
      </x:c>
      <x:c r="K195" s="14" t="n">
        <x:v>172</x:v>
      </x:c>
      <x:c r="L195" s="15" t="n">
        <x:v>24231.81</x:v>
      </x:c>
      <x:c r="M195" s="15" t="n">
        <x:v>135838.18</x:v>
      </x:c>
    </x:row>
    <x:row r="196">
      <x:c r="A196" s="13" t="n">
        <x:v>45717</x:v>
      </x:c>
      <x:c r="B196" s="14" t="str">
        <x:v>CMP017</x:v>
      </x:c>
      <x:c r="C196" s="14" t="str">
        <x:v>Affiliate_Retargeting_02</x:v>
      </x:c>
      <x:c r="D196" s="14" t="str">
        <x:v>Affiliate</x:v>
      </x:c>
      <x:c r="E196" s="14" t="str">
        <x:v>Retargeting</x:v>
      </x:c>
      <x:c r="F196" s="14" t="str">
        <x:v>Mid-Market</x:v>
      </x:c>
      <x:c r="G196" s="14" t="str">
        <x:v>South</x:v>
      </x:c>
      <x:c r="H196" s="14" t="n">
        <x:v>366339</x:v>
      </x:c>
      <x:c r="I196" s="14" t="n">
        <x:v>10493</x:v>
      </x:c>
      <x:c r="J196" s="14" t="n">
        <x:v>994</x:v>
      </x:c>
      <x:c r="K196" s="14" t="n">
        <x:v>174</x:v>
      </x:c>
      <x:c r="L196" s="15" t="n">
        <x:v>23943.06</x:v>
      </x:c>
      <x:c r="M196" s="15" t="n">
        <x:v>117829.22</x:v>
      </x:c>
    </x:row>
    <x:row r="197">
      <x:c r="A197" s="13" t="n">
        <x:v>45748</x:v>
      </x:c>
      <x:c r="B197" s="14" t="str">
        <x:v>CMP017</x:v>
      </x:c>
      <x:c r="C197" s="14" t="str">
        <x:v>Affiliate_Retargeting_02</x:v>
      </x:c>
      <x:c r="D197" s="14" t="str">
        <x:v>Affiliate</x:v>
      </x:c>
      <x:c r="E197" s="14" t="str">
        <x:v>Retargeting</x:v>
      </x:c>
      <x:c r="F197" s="14" t="str">
        <x:v>Mid-Market</x:v>
      </x:c>
      <x:c r="G197" s="14" t="str">
        <x:v>South</x:v>
      </x:c>
      <x:c r="H197" s="14" t="n">
        <x:v>336838</x:v>
      </x:c>
      <x:c r="I197" s="14" t="n">
        <x:v>8579</x:v>
      </x:c>
      <x:c r="J197" s="14" t="n">
        <x:v>660</x:v>
      </x:c>
      <x:c r="K197" s="14" t="n">
        <x:v>90</x:v>
      </x:c>
      <x:c r="L197" s="15" t="n">
        <x:v>21026.84</x:v>
      </x:c>
      <x:c r="M197" s="15" t="n">
        <x:v>65616.14</x:v>
      </x:c>
    </x:row>
    <x:row r="198">
      <x:c r="A198" s="13" t="n">
        <x:v>45778</x:v>
      </x:c>
      <x:c r="B198" s="14" t="str">
        <x:v>CMP017</x:v>
      </x:c>
      <x:c r="C198" s="14" t="str">
        <x:v>Affiliate_Retargeting_02</x:v>
      </x:c>
      <x:c r="D198" s="14" t="str">
        <x:v>Affiliate</x:v>
      </x:c>
      <x:c r="E198" s="14" t="str">
        <x:v>Retargeting</x:v>
      </x:c>
      <x:c r="F198" s="14" t="str">
        <x:v>Mid-Market</x:v>
      </x:c>
      <x:c r="G198" s="14" t="str">
        <x:v>South</x:v>
      </x:c>
      <x:c r="H198" s="14" t="n">
        <x:v>359211</x:v>
      </x:c>
      <x:c r="I198" s="14" t="n">
        <x:v>8277</x:v>
      </x:c>
      <x:c r="J198" s="14" t="n">
        <x:v>776</x:v>
      </x:c>
      <x:c r="K198" s="14" t="n">
        <x:v>107</x:v>
      </x:c>
      <x:c r="L198" s="15" t="n">
        <x:v>22476.41</x:v>
      </x:c>
      <x:c r="M198" s="15" t="n">
        <x:v>83570.72</x:v>
      </x:c>
    </x:row>
    <x:row r="199">
      <x:c r="A199" s="13" t="n">
        <x:v>45809</x:v>
      </x:c>
      <x:c r="B199" s="14" t="str">
        <x:v>CMP017</x:v>
      </x:c>
      <x:c r="C199" s="14" t="str">
        <x:v>Affiliate_Retargeting_02</x:v>
      </x:c>
      <x:c r="D199" s="14" t="str">
        <x:v>Affiliate</x:v>
      </x:c>
      <x:c r="E199" s="14" t="str">
        <x:v>Retargeting</x:v>
      </x:c>
      <x:c r="F199" s="14" t="str">
        <x:v>Mid-Market</x:v>
      </x:c>
      <x:c r="G199" s="14" t="str">
        <x:v>South</x:v>
      </x:c>
      <x:c r="H199" s="14" t="n">
        <x:v>425732</x:v>
      </x:c>
      <x:c r="I199" s="14" t="n">
        <x:v>11701</x:v>
      </x:c>
      <x:c r="J199" s="14" t="n">
        <x:v>967</x:v>
      </x:c>
      <x:c r="K199" s="14" t="n">
        <x:v>165</x:v>
      </x:c>
      <x:c r="L199" s="15" t="n">
        <x:v>27693.63</x:v>
      </x:c>
      <x:c r="M199" s="15" t="n">
        <x:v>127130.63</x:v>
      </x:c>
    </x:row>
    <x:row r="200">
      <x:c r="A200" s="13" t="n">
        <x:v>45839</x:v>
      </x:c>
      <x:c r="B200" s="14" t="str">
        <x:v>CMP017</x:v>
      </x:c>
      <x:c r="C200" s="14" t="str">
        <x:v>Affiliate_Retargeting_02</x:v>
      </x:c>
      <x:c r="D200" s="14" t="str">
        <x:v>Affiliate</x:v>
      </x:c>
      <x:c r="E200" s="14" t="str">
        <x:v>Retargeting</x:v>
      </x:c>
      <x:c r="F200" s="14" t="str">
        <x:v>Mid-Market</x:v>
      </x:c>
      <x:c r="G200" s="14" t="str">
        <x:v>South</x:v>
      </x:c>
      <x:c r="H200" s="14" t="n">
        <x:v>422631</x:v>
      </x:c>
      <x:c r="I200" s="14" t="n">
        <x:v>12879</x:v>
      </x:c>
      <x:c r="J200" s="14" t="n">
        <x:v>1138</x:v>
      </x:c>
      <x:c r="K200" s="14" t="n">
        <x:v>176</x:v>
      </x:c>
      <x:c r="L200" s="15" t="n">
        <x:v>26430.72</x:v>
      </x:c>
      <x:c r="M200" s="15" t="n">
        <x:v>127503.48</x:v>
      </x:c>
    </x:row>
    <x:row r="201">
      <x:c r="A201" s="13" t="n">
        <x:v>45870</x:v>
      </x:c>
      <x:c r="B201" s="14" t="str">
        <x:v>CMP017</x:v>
      </x:c>
      <x:c r="C201" s="14" t="str">
        <x:v>Affiliate_Retargeting_02</x:v>
      </x:c>
      <x:c r="D201" s="14" t="str">
        <x:v>Affiliate</x:v>
      </x:c>
      <x:c r="E201" s="14" t="str">
        <x:v>Retargeting</x:v>
      </x:c>
      <x:c r="F201" s="14" t="str">
        <x:v>Mid-Market</x:v>
      </x:c>
      <x:c r="G201" s="14" t="str">
        <x:v>South</x:v>
      </x:c>
      <x:c r="H201" s="14" t="n">
        <x:v>353149</x:v>
      </x:c>
      <x:c r="I201" s="14" t="n">
        <x:v>8299</x:v>
      </x:c>
      <x:c r="J201" s="14" t="n">
        <x:v>795</x:v>
      </x:c>
      <x:c r="K201" s="14" t="n">
        <x:v>124</x:v>
      </x:c>
      <x:c r="L201" s="15" t="n">
        <x:v>20004.48</x:v>
      </x:c>
      <x:c r="M201" s="15" t="n">
        <x:v>94141.34</x:v>
      </x:c>
    </x:row>
    <x:row r="202">
      <x:c r="A202" s="13" t="n">
        <x:v>45901</x:v>
      </x:c>
      <x:c r="B202" s="14" t="str">
        <x:v>CMP017</x:v>
      </x:c>
      <x:c r="C202" s="14" t="str">
        <x:v>Affiliate_Retargeting_02</x:v>
      </x:c>
      <x:c r="D202" s="14" t="str">
        <x:v>Affiliate</x:v>
      </x:c>
      <x:c r="E202" s="14" t="str">
        <x:v>Retargeting</x:v>
      </x:c>
      <x:c r="F202" s="14" t="str">
        <x:v>Mid-Market</x:v>
      </x:c>
      <x:c r="G202" s="14" t="str">
        <x:v>South</x:v>
      </x:c>
      <x:c r="H202" s="14" t="n">
        <x:v>414862</x:v>
      </x:c>
      <x:c r="I202" s="14" t="n">
        <x:v>10340</x:v>
      </x:c>
      <x:c r="J202" s="14" t="n">
        <x:v>847</x:v>
      </x:c>
      <x:c r="K202" s="14" t="n">
        <x:v>138</x:v>
      </x:c>
      <x:c r="L202" s="15" t="n">
        <x:v>24197.87</x:v>
      </x:c>
      <x:c r="M202" s="15" t="n">
        <x:v>100921.07</x:v>
      </x:c>
    </x:row>
    <x:row r="203">
      <x:c r="A203" s="13" t="n">
        <x:v>45931</x:v>
      </x:c>
      <x:c r="B203" s="14" t="str">
        <x:v>CMP017</x:v>
      </x:c>
      <x:c r="C203" s="14" t="str">
        <x:v>Affiliate_Retargeting_02</x:v>
      </x:c>
      <x:c r="D203" s="14" t="str">
        <x:v>Affiliate</x:v>
      </x:c>
      <x:c r="E203" s="14" t="str">
        <x:v>Retargeting</x:v>
      </x:c>
      <x:c r="F203" s="14" t="str">
        <x:v>Mid-Market</x:v>
      </x:c>
      <x:c r="G203" s="14" t="str">
        <x:v>South</x:v>
      </x:c>
      <x:c r="H203" s="14" t="n">
        <x:v>364344</x:v>
      </x:c>
      <x:c r="I203" s="14" t="n">
        <x:v>9208</x:v>
      </x:c>
      <x:c r="J203" s="14" t="n">
        <x:v>746</x:v>
      </x:c>
      <x:c r="K203" s="14" t="n">
        <x:v>116</x:v>
      </x:c>
      <x:c r="L203" s="15" t="n">
        <x:v>22359.99</x:v>
      </x:c>
      <x:c r="M203" s="15" t="n">
        <x:v>86101.25</x:v>
      </x:c>
    </x:row>
    <x:row r="204">
      <x:c r="A204" s="13" t="n">
        <x:v>45962</x:v>
      </x:c>
      <x:c r="B204" s="14" t="str">
        <x:v>CMP017</x:v>
      </x:c>
      <x:c r="C204" s="14" t="str">
        <x:v>Affiliate_Retargeting_02</x:v>
      </x:c>
      <x:c r="D204" s="14" t="str">
        <x:v>Affiliate</x:v>
      </x:c>
      <x:c r="E204" s="14" t="str">
        <x:v>Retargeting</x:v>
      </x:c>
      <x:c r="F204" s="14" t="str">
        <x:v>Mid-Market</x:v>
      </x:c>
      <x:c r="G204" s="14" t="str">
        <x:v>South</x:v>
      </x:c>
      <x:c r="H204" s="14" t="n">
        <x:v>449719</x:v>
      </x:c>
      <x:c r="I204" s="14" t="n">
        <x:v>10402</x:v>
      </x:c>
      <x:c r="J204" s="14" t="n">
        <x:v>744</x:v>
      </x:c>
      <x:c r="K204" s="14" t="n">
        <x:v>133</x:v>
      </x:c>
      <x:c r="L204" s="15" t="n">
        <x:v>29474.64</x:v>
      </x:c>
      <x:c r="M204" s="15" t="n">
        <x:v>92644.05</x:v>
      </x:c>
    </x:row>
    <x:row r="205">
      <x:c r="A205" s="13" t="n">
        <x:v>45992</x:v>
      </x:c>
      <x:c r="B205" s="14" t="str">
        <x:v>CMP017</x:v>
      </x:c>
      <x:c r="C205" s="14" t="str">
        <x:v>Affiliate_Retargeting_02</x:v>
      </x:c>
      <x:c r="D205" s="14" t="str">
        <x:v>Affiliate</x:v>
      </x:c>
      <x:c r="E205" s="14" t="str">
        <x:v>Retargeting</x:v>
      </x:c>
      <x:c r="F205" s="14" t="str">
        <x:v>Mid-Market</x:v>
      </x:c>
      <x:c r="G205" s="14" t="str">
        <x:v>South</x:v>
      </x:c>
      <x:c r="H205" s="14" t="n">
        <x:v>459284</x:v>
      </x:c>
      <x:c r="I205" s="14" t="n">
        <x:v>14433</x:v>
      </x:c>
      <x:c r="J205" s="14" t="n">
        <x:v>1372</x:v>
      </x:c>
      <x:c r="K205" s="14" t="n">
        <x:v>214</x:v>
      </x:c>
      <x:c r="L205" s="15" t="n">
        <x:v>30166.16</x:v>
      </x:c>
      <x:c r="M205" s="15" t="n">
        <x:v>158370.03</x:v>
      </x:c>
    </x:row>
    <x:row r="206">
      <x:c r="A206" s="13" t="n">
        <x:v>45658</x:v>
      </x:c>
      <x:c r="B206" s="14" t="str">
        <x:v>CMP018</x:v>
      </x:c>
      <x:c r="C206" s="14" t="str">
        <x:v>Affiliate_Acquisition_03</x:v>
      </x:c>
      <x:c r="D206" s="14" t="str">
        <x:v>Affiliate</x:v>
      </x:c>
      <x:c r="E206" s="14" t="str">
        <x:v>Acquisition</x:v>
      </x:c>
      <x:c r="F206" s="14" t="str">
        <x:v>Mid-Market</x:v>
      </x:c>
      <x:c r="G206" s="14" t="str">
        <x:v>West</x:v>
      </x:c>
      <x:c r="H206" s="14" t="n">
        <x:v>871797</x:v>
      </x:c>
      <x:c r="I206" s="14" t="n">
        <x:v>26347</x:v>
      </x:c>
      <x:c r="J206" s="14" t="n">
        <x:v>2667</x:v>
      </x:c>
      <x:c r="K206" s="14" t="n">
        <x:v>433</x:v>
      </x:c>
      <x:c r="L206" s="15" t="n">
        <x:v>35126.23</x:v>
      </x:c>
      <x:c r="M206" s="15" t="n">
        <x:v>274508.28</x:v>
      </x:c>
    </x:row>
    <x:row r="207">
      <x:c r="A207" s="13" t="n">
        <x:v>45689</x:v>
      </x:c>
      <x:c r="B207" s="14" t="str">
        <x:v>CMP018</x:v>
      </x:c>
      <x:c r="C207" s="14" t="str">
        <x:v>Affiliate_Acquisition_03</x:v>
      </x:c>
      <x:c r="D207" s="14" t="str">
        <x:v>Affiliate</x:v>
      </x:c>
      <x:c r="E207" s="14" t="str">
        <x:v>Acquisition</x:v>
      </x:c>
      <x:c r="F207" s="14" t="str">
        <x:v>Mid-Market</x:v>
      </x:c>
      <x:c r="G207" s="14" t="str">
        <x:v>West</x:v>
      </x:c>
      <x:c r="H207" s="14" t="n">
        <x:v>838447</x:v>
      </x:c>
      <x:c r="I207" s="14" t="n">
        <x:v>26002</x:v>
      </x:c>
      <x:c r="J207" s="14" t="n">
        <x:v>2543</x:v>
      </x:c>
      <x:c r="K207" s="14" t="n">
        <x:v>490</x:v>
      </x:c>
      <x:c r="L207" s="15" t="n">
        <x:v>37288.62</x:v>
      </x:c>
      <x:c r="M207" s="15" t="n">
        <x:v>330310.9</x:v>
      </x:c>
    </x:row>
    <x:row r="208">
      <x:c r="A208" s="13" t="n">
        <x:v>45717</x:v>
      </x:c>
      <x:c r="B208" s="14" t="str">
        <x:v>CMP018</x:v>
      </x:c>
      <x:c r="C208" s="14" t="str">
        <x:v>Affiliate_Acquisition_03</x:v>
      </x:c>
      <x:c r="D208" s="14" t="str">
        <x:v>Affiliate</x:v>
      </x:c>
      <x:c r="E208" s="14" t="str">
        <x:v>Acquisition</x:v>
      </x:c>
      <x:c r="F208" s="14" t="str">
        <x:v>Mid-Market</x:v>
      </x:c>
      <x:c r="G208" s="14" t="str">
        <x:v>West</x:v>
      </x:c>
      <x:c r="H208" s="14" t="n">
        <x:v>845605</x:v>
      </x:c>
      <x:c r="I208" s="14" t="n">
        <x:v>24029</x:v>
      </x:c>
      <x:c r="J208" s="14" t="n">
        <x:v>1996</x:v>
      </x:c>
      <x:c r="K208" s="14" t="n">
        <x:v>331</x:v>
      </x:c>
      <x:c r="L208" s="15" t="n">
        <x:v>36203.73</x:v>
      </x:c>
      <x:c r="M208" s="15" t="n">
        <x:v>201391.71</x:v>
      </x:c>
    </x:row>
    <x:row r="209">
      <x:c r="A209" s="13" t="n">
        <x:v>45748</x:v>
      </x:c>
      <x:c r="B209" s="14" t="str">
        <x:v>CMP018</x:v>
      </x:c>
      <x:c r="C209" s="14" t="str">
        <x:v>Affiliate_Acquisition_03</x:v>
      </x:c>
      <x:c r="D209" s="14" t="str">
        <x:v>Affiliate</x:v>
      </x:c>
      <x:c r="E209" s="14" t="str">
        <x:v>Acquisition</x:v>
      </x:c>
      <x:c r="F209" s="14" t="str">
        <x:v>Mid-Market</x:v>
      </x:c>
      <x:c r="G209" s="14" t="str">
        <x:v>West</x:v>
      </x:c>
      <x:c r="H209" s="14" t="n">
        <x:v>740513</x:v>
      </x:c>
      <x:c r="I209" s="14" t="n">
        <x:v>21532</x:v>
      </x:c>
      <x:c r="J209" s="14" t="n">
        <x:v>1697</x:v>
      </x:c>
      <x:c r="K209" s="14" t="n">
        <x:v>255</x:v>
      </x:c>
      <x:c r="L209" s="15" t="n">
        <x:v>33921.8</x:v>
      </x:c>
      <x:c r="M209" s="15" t="n">
        <x:v>151733.02</x:v>
      </x:c>
    </x:row>
    <x:row r="210">
      <x:c r="A210" s="13" t="n">
        <x:v>45778</x:v>
      </x:c>
      <x:c r="B210" s="14" t="str">
        <x:v>CMP018</x:v>
      </x:c>
      <x:c r="C210" s="14" t="str">
        <x:v>Affiliate_Acquisition_03</x:v>
      </x:c>
      <x:c r="D210" s="14" t="str">
        <x:v>Affiliate</x:v>
      </x:c>
      <x:c r="E210" s="14" t="str">
        <x:v>Acquisition</x:v>
      </x:c>
      <x:c r="F210" s="14" t="str">
        <x:v>Mid-Market</x:v>
      </x:c>
      <x:c r="G210" s="14" t="str">
        <x:v>West</x:v>
      </x:c>
      <x:c r="H210" s="14" t="n">
        <x:v>1086883</x:v>
      </x:c>
      <x:c r="I210" s="14" t="n">
        <x:v>34858</x:v>
      </x:c>
      <x:c r="J210" s="14" t="n">
        <x:v>3416</x:v>
      </x:c>
      <x:c r="K210" s="14" t="n">
        <x:v>693</x:v>
      </x:c>
      <x:c r="L210" s="15" t="n">
        <x:v>40654.52</x:v>
      </x:c>
      <x:c r="M210" s="15" t="n">
        <x:v>408805.67</x:v>
      </x:c>
    </x:row>
    <x:row r="211">
      <x:c r="A211" s="13" t="n">
        <x:v>45809</x:v>
      </x:c>
      <x:c r="B211" s="14" t="str">
        <x:v>CMP018</x:v>
      </x:c>
      <x:c r="C211" s="14" t="str">
        <x:v>Affiliate_Acquisition_03</x:v>
      </x:c>
      <x:c r="D211" s="14" t="str">
        <x:v>Affiliate</x:v>
      </x:c>
      <x:c r="E211" s="14" t="str">
        <x:v>Acquisition</x:v>
      </x:c>
      <x:c r="F211" s="14" t="str">
        <x:v>Mid-Market</x:v>
      </x:c>
      <x:c r="G211" s="14" t="str">
        <x:v>West</x:v>
      </x:c>
      <x:c r="H211" s="14" t="n">
        <x:v>819548</x:v>
      </x:c>
      <x:c r="I211" s="14" t="n">
        <x:v>20768</x:v>
      </x:c>
      <x:c r="J211" s="14" t="n">
        <x:v>1735</x:v>
      </x:c>
      <x:c r="K211" s="14" t="n">
        <x:v>263</x:v>
      </x:c>
      <x:c r="L211" s="15" t="n">
        <x:v>36066.75</x:v>
      </x:c>
      <x:c r="M211" s="15" t="n">
        <x:v>182278.69</x:v>
      </x:c>
    </x:row>
    <x:row r="212">
      <x:c r="A212" s="13" t="n">
        <x:v>45839</x:v>
      </x:c>
      <x:c r="B212" s="14" t="str">
        <x:v>CMP018</x:v>
      </x:c>
      <x:c r="C212" s="14" t="str">
        <x:v>Affiliate_Acquisition_03</x:v>
      </x:c>
      <x:c r="D212" s="14" t="str">
        <x:v>Affiliate</x:v>
      </x:c>
      <x:c r="E212" s="14" t="str">
        <x:v>Acquisition</x:v>
      </x:c>
      <x:c r="F212" s="14" t="str">
        <x:v>Mid-Market</x:v>
      </x:c>
      <x:c r="G212" s="14" t="str">
        <x:v>West</x:v>
      </x:c>
      <x:c r="H212" s="14" t="n">
        <x:v>878075</x:v>
      </x:c>
      <x:c r="I212" s="14" t="n">
        <x:v>22570</x:v>
      </x:c>
      <x:c r="J212" s="14" t="n">
        <x:v>1929</x:v>
      </x:c>
      <x:c r="K212" s="14" t="n">
        <x:v>327</x:v>
      </x:c>
      <x:c r="L212" s="15" t="n">
        <x:v>39014.93</x:v>
      </x:c>
      <x:c r="M212" s="15" t="n">
        <x:v>220047.19</x:v>
      </x:c>
    </x:row>
    <x:row r="213">
      <x:c r="A213" s="13" t="n">
        <x:v>45870</x:v>
      </x:c>
      <x:c r="B213" s="14" t="str">
        <x:v>CMP018</x:v>
      </x:c>
      <x:c r="C213" s="14" t="str">
        <x:v>Affiliate_Acquisition_03</x:v>
      </x:c>
      <x:c r="D213" s="14" t="str">
        <x:v>Affiliate</x:v>
      </x:c>
      <x:c r="E213" s="14" t="str">
        <x:v>Acquisition</x:v>
      </x:c>
      <x:c r="F213" s="14" t="str">
        <x:v>Mid-Market</x:v>
      </x:c>
      <x:c r="G213" s="14" t="str">
        <x:v>West</x:v>
      </x:c>
      <x:c r="H213" s="14" t="n">
        <x:v>773573</x:v>
      </x:c>
      <x:c r="I213" s="14" t="n">
        <x:v>20855</x:v>
      </x:c>
      <x:c r="J213" s="14" t="n">
        <x:v>1987</x:v>
      </x:c>
      <x:c r="K213" s="14" t="n">
        <x:v>342</x:v>
      </x:c>
      <x:c r="L213" s="15" t="n">
        <x:v>31569.81</x:v>
      </x:c>
      <x:c r="M213" s="15" t="n">
        <x:v>223812.14</x:v>
      </x:c>
    </x:row>
    <x:row r="214">
      <x:c r="A214" s="13" t="n">
        <x:v>45901</x:v>
      </x:c>
      <x:c r="B214" s="14" t="str">
        <x:v>CMP018</x:v>
      </x:c>
      <x:c r="C214" s="14" t="str">
        <x:v>Affiliate_Acquisition_03</x:v>
      </x:c>
      <x:c r="D214" s="14" t="str">
        <x:v>Affiliate</x:v>
      </x:c>
      <x:c r="E214" s="14" t="str">
        <x:v>Acquisition</x:v>
      </x:c>
      <x:c r="F214" s="14" t="str">
        <x:v>Mid-Market</x:v>
      </x:c>
      <x:c r="G214" s="14" t="str">
        <x:v>West</x:v>
      </x:c>
      <x:c r="H214" s="14" t="n">
        <x:v>781554</x:v>
      </x:c>
      <x:c r="I214" s="14" t="n">
        <x:v>22584</x:v>
      </x:c>
      <x:c r="J214" s="14" t="n">
        <x:v>2213</x:v>
      </x:c>
      <x:c r="K214" s="14" t="n">
        <x:v>368</x:v>
      </x:c>
      <x:c r="L214" s="15" t="n">
        <x:v>34723</x:v>
      </x:c>
      <x:c r="M214" s="15" t="n">
        <x:v>260590.71</x:v>
      </x:c>
    </x:row>
    <x:row r="215">
      <x:c r="A215" s="13" t="n">
        <x:v>45931</x:v>
      </x:c>
      <x:c r="B215" s="14" t="str">
        <x:v>CMP018</x:v>
      </x:c>
      <x:c r="C215" s="14" t="str">
        <x:v>Affiliate_Acquisition_03</x:v>
      </x:c>
      <x:c r="D215" s="14" t="str">
        <x:v>Affiliate</x:v>
      </x:c>
      <x:c r="E215" s="14" t="str">
        <x:v>Acquisition</x:v>
      </x:c>
      <x:c r="F215" s="14" t="str">
        <x:v>Mid-Market</x:v>
      </x:c>
      <x:c r="G215" s="14" t="str">
        <x:v>West</x:v>
      </x:c>
      <x:c r="H215" s="14" t="n">
        <x:v>1082582</x:v>
      </x:c>
      <x:c r="I215" s="14" t="n">
        <x:v>29150</x:v>
      </x:c>
      <x:c r="J215" s="14" t="n">
        <x:v>2440</x:v>
      </x:c>
      <x:c r="K215" s="14" t="n">
        <x:v>433</x:v>
      </x:c>
      <x:c r="L215" s="15" t="n">
        <x:v>44368.45</x:v>
      </x:c>
      <x:c r="M215" s="15" t="n">
        <x:v>307696.23</x:v>
      </x:c>
    </x:row>
    <x:row r="216">
      <x:c r="A216" s="13" t="n">
        <x:v>45962</x:v>
      </x:c>
      <x:c r="B216" s="14" t="str">
        <x:v>CMP018</x:v>
      </x:c>
      <x:c r="C216" s="14" t="str">
        <x:v>Affiliate_Acquisition_03</x:v>
      </x:c>
      <x:c r="D216" s="14" t="str">
        <x:v>Affiliate</x:v>
      </x:c>
      <x:c r="E216" s="14" t="str">
        <x:v>Acquisition</x:v>
      </x:c>
      <x:c r="F216" s="14" t="str">
        <x:v>Mid-Market</x:v>
      </x:c>
      <x:c r="G216" s="14" t="str">
        <x:v>West</x:v>
      </x:c>
      <x:c r="H216" s="14" t="n">
        <x:v>1025186</x:v>
      </x:c>
      <x:c r="I216" s="14" t="n">
        <x:v>26058</x:v>
      </x:c>
      <x:c r="J216" s="14" t="n">
        <x:v>2073</x:v>
      </x:c>
      <x:c r="K216" s="14" t="n">
        <x:v>385</x:v>
      </x:c>
      <x:c r="L216" s="15" t="n">
        <x:v>45472.17</x:v>
      </x:c>
      <x:c r="M216" s="15" t="n">
        <x:v>268974.55</x:v>
      </x:c>
    </x:row>
    <x:row r="217">
      <x:c r="A217" s="13" t="n">
        <x:v>45992</x:v>
      </x:c>
      <x:c r="B217" s="14" t="str">
        <x:v>CMP018</x:v>
      </x:c>
      <x:c r="C217" s="14" t="str">
        <x:v>Affiliate_Acquisition_03</x:v>
      </x:c>
      <x:c r="D217" s="14" t="str">
        <x:v>Affiliate</x:v>
      </x:c>
      <x:c r="E217" s="14" t="str">
        <x:v>Acquisition</x:v>
      </x:c>
      <x:c r="F217" s="14" t="str">
        <x:v>Mid-Market</x:v>
      </x:c>
      <x:c r="G217" s="14" t="str">
        <x:v>West</x:v>
      </x:c>
      <x:c r="H217" s="14" t="n">
        <x:v>1171395</x:v>
      </x:c>
      <x:c r="I217" s="14" t="n">
        <x:v>38493</x:v>
      </x:c>
      <x:c r="J217" s="14" t="n">
        <x:v>3792</x:v>
      </x:c>
      <x:c r="K217" s="14" t="n">
        <x:v>609</x:v>
      </x:c>
      <x:c r="L217" s="15" t="n">
        <x:v>43832.51</x:v>
      </x:c>
      <x:c r="M217" s="15" t="n">
        <x:v>416680.96</x:v>
      </x:c>
    </x:row>
    <x:row r="218">
      <x:c r="A218" s="13" t="n">
        <x:v>45658</x:v>
      </x:c>
      <x:c r="B218" s="14" t="str">
        <x:v>CMP019</x:v>
      </x:c>
      <x:c r="C218" s="14" t="str">
        <x:v>Affiliate_Retargeting_04</x:v>
      </x:c>
      <x:c r="D218" s="14" t="str">
        <x:v>Affiliate</x:v>
      </x:c>
      <x:c r="E218" s="14" t="str">
        <x:v>Retargeting</x:v>
      </x:c>
      <x:c r="F218" s="14" t="str">
        <x:v>Consumer</x:v>
      </x:c>
      <x:c r="G218" s="14" t="str">
        <x:v>South</x:v>
      </x:c>
      <x:c r="H218" s="14" t="n">
        <x:v>552722</x:v>
      </x:c>
      <x:c r="I218" s="14" t="n">
        <x:v>17813</x:v>
      </x:c>
      <x:c r="J218" s="14" t="n">
        <x:v>1761</x:v>
      </x:c>
      <x:c r="K218" s="14" t="n">
        <x:v>360</x:v>
      </x:c>
      <x:c r="L218" s="15" t="n">
        <x:v>26854.18</x:v>
      </x:c>
      <x:c r="M218" s="15" t="n">
        <x:v>257619.24</x:v>
      </x:c>
    </x:row>
    <x:row r="219">
      <x:c r="A219" s="13" t="n">
        <x:v>45689</x:v>
      </x:c>
      <x:c r="B219" s="14" t="str">
        <x:v>CMP019</x:v>
      </x:c>
      <x:c r="C219" s="14" t="str">
        <x:v>Affiliate_Retargeting_04</x:v>
      </x:c>
      <x:c r="D219" s="14" t="str">
        <x:v>Affiliate</x:v>
      </x:c>
      <x:c r="E219" s="14" t="str">
        <x:v>Retargeting</x:v>
      </x:c>
      <x:c r="F219" s="14" t="str">
        <x:v>Consumer</x:v>
      </x:c>
      <x:c r="G219" s="14" t="str">
        <x:v>South</x:v>
      </x:c>
      <x:c r="H219" s="14" t="n">
        <x:v>719057</x:v>
      </x:c>
      <x:c r="I219" s="14" t="n">
        <x:v>19950</x:v>
      </x:c>
      <x:c r="J219" s="14" t="n">
        <x:v>1472</x:v>
      </x:c>
      <x:c r="K219" s="14" t="n">
        <x:v>228</x:v>
      </x:c>
      <x:c r="L219" s="15" t="n">
        <x:v>30840.39</x:v>
      </x:c>
      <x:c r="M219" s="15" t="n">
        <x:v>159964.92</x:v>
      </x:c>
    </x:row>
    <x:row r="220">
      <x:c r="A220" s="13" t="n">
        <x:v>45717</x:v>
      </x:c>
      <x:c r="B220" s="14" t="str">
        <x:v>CMP019</x:v>
      </x:c>
      <x:c r="C220" s="14" t="str">
        <x:v>Affiliate_Retargeting_04</x:v>
      </x:c>
      <x:c r="D220" s="14" t="str">
        <x:v>Affiliate</x:v>
      </x:c>
      <x:c r="E220" s="14" t="str">
        <x:v>Retargeting</x:v>
      </x:c>
      <x:c r="F220" s="14" t="str">
        <x:v>Consumer</x:v>
      </x:c>
      <x:c r="G220" s="14" t="str">
        <x:v>South</x:v>
      </x:c>
      <x:c r="H220" s="14" t="n">
        <x:v>629336</x:v>
      </x:c>
      <x:c r="I220" s="14" t="n">
        <x:v>17127</x:v>
      </x:c>
      <x:c r="J220" s="14" t="n">
        <x:v>1298</x:v>
      </x:c>
      <x:c r="K220" s="14" t="n">
        <x:v>184</x:v>
      </x:c>
      <x:c r="L220" s="15" t="n">
        <x:v>29268.51</x:v>
      </x:c>
      <x:c r="M220" s="15" t="n">
        <x:v>145134.21</x:v>
      </x:c>
    </x:row>
    <x:row r="221">
      <x:c r="A221" s="13" t="n">
        <x:v>45748</x:v>
      </x:c>
      <x:c r="B221" s="14" t="str">
        <x:v>CMP019</x:v>
      </x:c>
      <x:c r="C221" s="14" t="str">
        <x:v>Affiliate_Retargeting_04</x:v>
      </x:c>
      <x:c r="D221" s="14" t="str">
        <x:v>Affiliate</x:v>
      </x:c>
      <x:c r="E221" s="14" t="str">
        <x:v>Retargeting</x:v>
      </x:c>
      <x:c r="F221" s="14" t="str">
        <x:v>Consumer</x:v>
      </x:c>
      <x:c r="G221" s="14" t="str">
        <x:v>South</x:v>
      </x:c>
      <x:c r="H221" s="14" t="n">
        <x:v>724958</x:v>
      </x:c>
      <x:c r="I221" s="14" t="n">
        <x:v>22927</x:v>
      </x:c>
      <x:c r="J221" s="14" t="n">
        <x:v>1969</x:v>
      </x:c>
      <x:c r="K221" s="14" t="n">
        <x:v>359</x:v>
      </x:c>
      <x:c r="L221" s="15" t="n">
        <x:v>34611.36</x:v>
      </x:c>
      <x:c r="M221" s="15" t="n">
        <x:v>282566.33</x:v>
      </x:c>
    </x:row>
    <x:row r="222">
      <x:c r="A222" s="13" t="n">
        <x:v>45778</x:v>
      </x:c>
      <x:c r="B222" s="14" t="str">
        <x:v>CMP019</x:v>
      </x:c>
      <x:c r="C222" s="14" t="str">
        <x:v>Affiliate_Retargeting_04</x:v>
      </x:c>
      <x:c r="D222" s="14" t="str">
        <x:v>Affiliate</x:v>
      </x:c>
      <x:c r="E222" s="14" t="str">
        <x:v>Retargeting</x:v>
      </x:c>
      <x:c r="F222" s="14" t="str">
        <x:v>Consumer</x:v>
      </x:c>
      <x:c r="G222" s="14" t="str">
        <x:v>South</x:v>
      </x:c>
      <x:c r="H222" s="14" t="n">
        <x:v>703142</x:v>
      </x:c>
      <x:c r="I222" s="14" t="n">
        <x:v>17775</x:v>
      </x:c>
      <x:c r="J222" s="14" t="n">
        <x:v>1788</x:v>
      </x:c>
      <x:c r="K222" s="14" t="n">
        <x:v>325</x:v>
      </x:c>
      <x:c r="L222" s="15" t="n">
        <x:v>28976.27</x:v>
      </x:c>
      <x:c r="M222" s="15" t="n">
        <x:v>232968.42</x:v>
      </x:c>
    </x:row>
    <x:row r="223">
      <x:c r="A223" s="13" t="n">
        <x:v>45809</x:v>
      </x:c>
      <x:c r="B223" s="14" t="str">
        <x:v>CMP019</x:v>
      </x:c>
      <x:c r="C223" s="14" t="str">
        <x:v>Affiliate_Retargeting_04</x:v>
      </x:c>
      <x:c r="D223" s="14" t="str">
        <x:v>Affiliate</x:v>
      </x:c>
      <x:c r="E223" s="14" t="str">
        <x:v>Retargeting</x:v>
      </x:c>
      <x:c r="F223" s="14" t="str">
        <x:v>Consumer</x:v>
      </x:c>
      <x:c r="G223" s="14" t="str">
        <x:v>South</x:v>
      </x:c>
      <x:c r="H223" s="14" t="n">
        <x:v>934681</x:v>
      </x:c>
      <x:c r="I223" s="14" t="n">
        <x:v>23359</x:v>
      </x:c>
      <x:c r="J223" s="14" t="n">
        <x:v>1838</x:v>
      </x:c>
      <x:c r="K223" s="14" t="n">
        <x:v>338</x:v>
      </x:c>
      <x:c r="L223" s="15" t="n">
        <x:v>38736.01</x:v>
      </x:c>
      <x:c r="M223" s="15" t="n">
        <x:v>252107.85</x:v>
      </x:c>
    </x:row>
    <x:row r="224">
      <x:c r="A224" s="13" t="n">
        <x:v>45839</x:v>
      </x:c>
      <x:c r="B224" s="14" t="str">
        <x:v>CMP019</x:v>
      </x:c>
      <x:c r="C224" s="14" t="str">
        <x:v>Affiliate_Retargeting_04</x:v>
      </x:c>
      <x:c r="D224" s="14" t="str">
        <x:v>Affiliate</x:v>
      </x:c>
      <x:c r="E224" s="14" t="str">
        <x:v>Retargeting</x:v>
      </x:c>
      <x:c r="F224" s="14" t="str">
        <x:v>Consumer</x:v>
      </x:c>
      <x:c r="G224" s="14" t="str">
        <x:v>South</x:v>
      </x:c>
      <x:c r="H224" s="14" t="n">
        <x:v>604136</x:v>
      </x:c>
      <x:c r="I224" s="14" t="n">
        <x:v>17476</x:v>
      </x:c>
      <x:c r="J224" s="14" t="n">
        <x:v>1537</x:v>
      </x:c>
      <x:c r="K224" s="14" t="n">
        <x:v>282</x:v>
      </x:c>
      <x:c r="L224" s="15" t="n">
        <x:v>28878.75</x:v>
      </x:c>
      <x:c r="M224" s="15" t="n">
        <x:v>208377.39</x:v>
      </x:c>
    </x:row>
    <x:row r="225">
      <x:c r="A225" s="13" t="n">
        <x:v>45870</x:v>
      </x:c>
      <x:c r="B225" s="14" t="str">
        <x:v>CMP019</x:v>
      </x:c>
      <x:c r="C225" s="14" t="str">
        <x:v>Affiliate_Retargeting_04</x:v>
      </x:c>
      <x:c r="D225" s="14" t="str">
        <x:v>Affiliate</x:v>
      </x:c>
      <x:c r="E225" s="14" t="str">
        <x:v>Retargeting</x:v>
      </x:c>
      <x:c r="F225" s="14" t="str">
        <x:v>Consumer</x:v>
      </x:c>
      <x:c r="G225" s="14" t="str">
        <x:v>South</x:v>
      </x:c>
      <x:c r="H225" s="14" t="n">
        <x:v>820884</x:v>
      </x:c>
      <x:c r="I225" s="14" t="n">
        <x:v>19487</x:v>
      </x:c>
      <x:c r="J225" s="14" t="n">
        <x:v>1603</x:v>
      </x:c>
      <x:c r="K225" s="14" t="n">
        <x:v>287</x:v>
      </x:c>
      <x:c r="L225" s="15" t="n">
        <x:v>34487.25</x:v>
      </x:c>
      <x:c r="M225" s="15" t="n">
        <x:v>195869.72</x:v>
      </x:c>
    </x:row>
    <x:row r="226">
      <x:c r="A226" s="13" t="n">
        <x:v>45901</x:v>
      </x:c>
      <x:c r="B226" s="14" t="str">
        <x:v>CMP019</x:v>
      </x:c>
      <x:c r="C226" s="14" t="str">
        <x:v>Affiliate_Retargeting_04</x:v>
      </x:c>
      <x:c r="D226" s="14" t="str">
        <x:v>Affiliate</x:v>
      </x:c>
      <x:c r="E226" s="14" t="str">
        <x:v>Retargeting</x:v>
      </x:c>
      <x:c r="F226" s="14" t="str">
        <x:v>Consumer</x:v>
      </x:c>
      <x:c r="G226" s="14" t="str">
        <x:v>South</x:v>
      </x:c>
      <x:c r="H226" s="14" t="n">
        <x:v>819408</x:v>
      </x:c>
      <x:c r="I226" s="14" t="n">
        <x:v>22516</x:v>
      </x:c>
      <x:c r="J226" s="14" t="n">
        <x:v>2275</x:v>
      </x:c>
      <x:c r="K226" s="14" t="n">
        <x:v>404</x:v>
      </x:c>
      <x:c r="L226" s="15" t="n">
        <x:v>36444.97</x:v>
      </x:c>
      <x:c r="M226" s="15" t="n">
        <x:v>310959.46</x:v>
      </x:c>
    </x:row>
    <x:row r="227">
      <x:c r="A227" s="13" t="n">
        <x:v>45931</x:v>
      </x:c>
      <x:c r="B227" s="14" t="str">
        <x:v>CMP019</x:v>
      </x:c>
      <x:c r="C227" s="14" t="str">
        <x:v>Affiliate_Retargeting_04</x:v>
      </x:c>
      <x:c r="D227" s="14" t="str">
        <x:v>Affiliate</x:v>
      </x:c>
      <x:c r="E227" s="14" t="str">
        <x:v>Retargeting</x:v>
      </x:c>
      <x:c r="F227" s="14" t="str">
        <x:v>Consumer</x:v>
      </x:c>
      <x:c r="G227" s="14" t="str">
        <x:v>South</x:v>
      </x:c>
      <x:c r="H227" s="14" t="n">
        <x:v>920219</x:v>
      </x:c>
      <x:c r="I227" s="14" t="n">
        <x:v>30200</x:v>
      </x:c>
      <x:c r="J227" s="14" t="n">
        <x:v>2192</x:v>
      </x:c>
      <x:c r="K227" s="14" t="n">
        <x:v>365</x:v>
      </x:c>
      <x:c r="L227" s="15" t="n">
        <x:v>36014.06</x:v>
      </x:c>
      <x:c r="M227" s="15" t="n">
        <x:v>258986.78</x:v>
      </x:c>
    </x:row>
    <x:row r="228">
      <x:c r="A228" s="13" t="n">
        <x:v>45962</x:v>
      </x:c>
      <x:c r="B228" s="14" t="str">
        <x:v>CMP019</x:v>
      </x:c>
      <x:c r="C228" s="14" t="str">
        <x:v>Affiliate_Retargeting_04</x:v>
      </x:c>
      <x:c r="D228" s="14" t="str">
        <x:v>Affiliate</x:v>
      </x:c>
      <x:c r="E228" s="14" t="str">
        <x:v>Retargeting</x:v>
      </x:c>
      <x:c r="F228" s="14" t="str">
        <x:v>Consumer</x:v>
      </x:c>
      <x:c r="G228" s="14" t="str">
        <x:v>South</x:v>
      </x:c>
      <x:c r="H228" s="14" t="n">
        <x:v>975589</x:v>
      </x:c>
      <x:c r="I228" s="14" t="n">
        <x:v>23830</x:v>
      </x:c>
      <x:c r="J228" s="14" t="n">
        <x:v>1877</x:v>
      </x:c>
      <x:c r="K228" s="14" t="n">
        <x:v>348</x:v>
      </x:c>
      <x:c r="L228" s="15" t="n">
        <x:v>41668.37</x:v>
      </x:c>
      <x:c r="M228" s="15" t="n">
        <x:v>233262.12</x:v>
      </x:c>
    </x:row>
    <x:row r="229">
      <x:c r="A229" s="13" t="n">
        <x:v>45992</x:v>
      </x:c>
      <x:c r="B229" s="14" t="str">
        <x:v>CMP019</x:v>
      </x:c>
      <x:c r="C229" s="14" t="str">
        <x:v>Affiliate_Retargeting_04</x:v>
      </x:c>
      <x:c r="D229" s="14" t="str">
        <x:v>Affiliate</x:v>
      </x:c>
      <x:c r="E229" s="14" t="str">
        <x:v>Retargeting</x:v>
      </x:c>
      <x:c r="F229" s="14" t="str">
        <x:v>Consumer</x:v>
      </x:c>
      <x:c r="G229" s="14" t="str">
        <x:v>South</x:v>
      </x:c>
      <x:c r="H229" s="14" t="n">
        <x:v>880621</x:v>
      </x:c>
      <x:c r="I229" s="14" t="n">
        <x:v>22114</x:v>
      </x:c>
      <x:c r="J229" s="14" t="n">
        <x:v>1818</x:v>
      </x:c>
      <x:c r="K229" s="14" t="n">
        <x:v>296</x:v>
      </x:c>
      <x:c r="L229" s="15" t="n">
        <x:v>41347.32</x:v>
      </x:c>
      <x:c r="M229" s="15" t="n">
        <x:v>221642.15</x:v>
      </x:c>
    </x:row>
    <x:row r="230">
      <x:c r="A230" s="13" t="n">
        <x:v>45658</x:v>
      </x:c>
      <x:c r="B230" s="14" t="str">
        <x:v>CMP020</x:v>
      </x:c>
      <x:c r="C230" s="14" t="str">
        <x:v>Affiliate_LeadGen_05</x:v>
      </x:c>
      <x:c r="D230" s="14" t="str">
        <x:v>Affiliate</x:v>
      </x:c>
      <x:c r="E230" s="14" t="str">
        <x:v>Lead Gen</x:v>
      </x:c>
      <x:c r="F230" s="14" t="str">
        <x:v>Consumer</x:v>
      </x:c>
      <x:c r="G230" s="14" t="str">
        <x:v>East</x:v>
      </x:c>
      <x:c r="H230" s="14" t="n">
        <x:v>693490</x:v>
      </x:c>
      <x:c r="I230" s="14" t="n">
        <x:v>21708</x:v>
      </x:c>
      <x:c r="J230" s="14" t="n">
        <x:v>1837</x:v>
      </x:c>
      <x:c r="K230" s="14" t="n">
        <x:v>290</x:v>
      </x:c>
      <x:c r="L230" s="15" t="n">
        <x:v>30539.15</x:v>
      </x:c>
      <x:c r="M230" s="15" t="n">
        <x:v>171301.5</x:v>
      </x:c>
    </x:row>
    <x:row r="231">
      <x:c r="A231" s="13" t="n">
        <x:v>45689</x:v>
      </x:c>
      <x:c r="B231" s="14" t="str">
        <x:v>CMP020</x:v>
      </x:c>
      <x:c r="C231" s="14" t="str">
        <x:v>Affiliate_LeadGen_05</x:v>
      </x:c>
      <x:c r="D231" s="14" t="str">
        <x:v>Affiliate</x:v>
      </x:c>
      <x:c r="E231" s="14" t="str">
        <x:v>Lead Gen</x:v>
      </x:c>
      <x:c r="F231" s="14" t="str">
        <x:v>Consumer</x:v>
      </x:c>
      <x:c r="G231" s="14" t="str">
        <x:v>East</x:v>
      </x:c>
      <x:c r="H231" s="14" t="n">
        <x:v>591932</x:v>
      </x:c>
      <x:c r="I231" s="14" t="n">
        <x:v>19483</x:v>
      </x:c>
      <x:c r="J231" s="14" t="n">
        <x:v>1683</x:v>
      </x:c>
      <x:c r="K231" s="14" t="n">
        <x:v>346</x:v>
      </x:c>
      <x:c r="L231" s="15" t="n">
        <x:v>25918.72</x:v>
      </x:c>
      <x:c r="M231" s="15" t="n">
        <x:v>226835.52</x:v>
      </x:c>
    </x:row>
    <x:row r="232">
      <x:c r="A232" s="13" t="n">
        <x:v>45717</x:v>
      </x:c>
      <x:c r="B232" s="14" t="str">
        <x:v>CMP020</x:v>
      </x:c>
      <x:c r="C232" s="14" t="str">
        <x:v>Affiliate_LeadGen_05</x:v>
      </x:c>
      <x:c r="D232" s="14" t="str">
        <x:v>Affiliate</x:v>
      </x:c>
      <x:c r="E232" s="14" t="str">
        <x:v>Lead Gen</x:v>
      </x:c>
      <x:c r="F232" s="14" t="str">
        <x:v>Consumer</x:v>
      </x:c>
      <x:c r="G232" s="14" t="str">
        <x:v>East</x:v>
      </x:c>
      <x:c r="H232" s="14" t="n">
        <x:v>532768</x:v>
      </x:c>
      <x:c r="I232" s="14" t="n">
        <x:v>13482</x:v>
      </x:c>
      <x:c r="J232" s="14" t="n">
        <x:v>1099</x:v>
      </x:c>
      <x:c r="K232" s="14" t="n">
        <x:v>210</x:v>
      </x:c>
      <x:c r="L232" s="15" t="n">
        <x:v>27802.97</x:v>
      </x:c>
      <x:c r="M232" s="15" t="n">
        <x:v>146486.29</x:v>
      </x:c>
    </x:row>
    <x:row r="233">
      <x:c r="A233" s="13" t="n">
        <x:v>45748</x:v>
      </x:c>
      <x:c r="B233" s="14" t="str">
        <x:v>CMP020</x:v>
      </x:c>
      <x:c r="C233" s="14" t="str">
        <x:v>Affiliate_LeadGen_05</x:v>
      </x:c>
      <x:c r="D233" s="14" t="str">
        <x:v>Affiliate</x:v>
      </x:c>
      <x:c r="E233" s="14" t="str">
        <x:v>Lead Gen</x:v>
      </x:c>
      <x:c r="F233" s="14" t="str">
        <x:v>Consumer</x:v>
      </x:c>
      <x:c r="G233" s="14" t="str">
        <x:v>East</x:v>
      </x:c>
      <x:c r="H233" s="14" t="n">
        <x:v>663623</x:v>
      </x:c>
      <x:c r="I233" s="14" t="n">
        <x:v>17997</x:v>
      </x:c>
      <x:c r="J233" s="14" t="n">
        <x:v>1763</x:v>
      </x:c>
      <x:c r="K233" s="14" t="n">
        <x:v>333</x:v>
      </x:c>
      <x:c r="L233" s="15" t="n">
        <x:v>29704.8</x:v>
      </x:c>
      <x:c r="M233" s="15" t="n">
        <x:v>233533.86</x:v>
      </x:c>
    </x:row>
    <x:row r="234">
      <x:c r="A234" s="13" t="n">
        <x:v>45778</x:v>
      </x:c>
      <x:c r="B234" s="14" t="str">
        <x:v>CMP020</x:v>
      </x:c>
      <x:c r="C234" s="14" t="str">
        <x:v>Affiliate_LeadGen_05</x:v>
      </x:c>
      <x:c r="D234" s="14" t="str">
        <x:v>Affiliate</x:v>
      </x:c>
      <x:c r="E234" s="14" t="str">
        <x:v>Lead Gen</x:v>
      </x:c>
      <x:c r="F234" s="14" t="str">
        <x:v>Consumer</x:v>
      </x:c>
      <x:c r="G234" s="14" t="str">
        <x:v>East</x:v>
      </x:c>
      <x:c r="H234" s="14" t="n">
        <x:v>541586</x:v>
      </x:c>
      <x:c r="I234" s="14" t="n">
        <x:v>15399</x:v>
      </x:c>
      <x:c r="J234" s="14" t="n">
        <x:v>1322</x:v>
      </x:c>
      <x:c r="K234" s="14" t="n">
        <x:v>266</x:v>
      </x:c>
      <x:c r="L234" s="15" t="n">
        <x:v>29672.69</x:v>
      </x:c>
      <x:c r="M234" s="15" t="n">
        <x:v>173566.56</x:v>
      </x:c>
    </x:row>
    <x:row r="235">
      <x:c r="A235" s="13" t="n">
        <x:v>45809</x:v>
      </x:c>
      <x:c r="B235" s="14" t="str">
        <x:v>CMP020</x:v>
      </x:c>
      <x:c r="C235" s="14" t="str">
        <x:v>Affiliate_LeadGen_05</x:v>
      </x:c>
      <x:c r="D235" s="14" t="str">
        <x:v>Affiliate</x:v>
      </x:c>
      <x:c r="E235" s="14" t="str">
        <x:v>Lead Gen</x:v>
      </x:c>
      <x:c r="F235" s="14" t="str">
        <x:v>Consumer</x:v>
      </x:c>
      <x:c r="G235" s="14" t="str">
        <x:v>East</x:v>
      </x:c>
      <x:c r="H235" s="14" t="n">
        <x:v>676231</x:v>
      </x:c>
      <x:c r="I235" s="14" t="n">
        <x:v>16335</x:v>
      </x:c>
      <x:c r="J235" s="14" t="n">
        <x:v>1455</x:v>
      </x:c>
      <x:c r="K235" s="14" t="n">
        <x:v>283</x:v>
      </x:c>
      <x:c r="L235" s="15" t="n">
        <x:v>35080.44</x:v>
      </x:c>
      <x:c r="M235" s="15" t="n">
        <x:v>185623</x:v>
      </x:c>
    </x:row>
    <x:row r="236">
      <x:c r="A236" s="13" t="n">
        <x:v>45839</x:v>
      </x:c>
      <x:c r="B236" s="14" t="str">
        <x:v>CMP020</x:v>
      </x:c>
      <x:c r="C236" s="14" t="str">
        <x:v>Affiliate_LeadGen_05</x:v>
      </x:c>
      <x:c r="D236" s="14" t="str">
        <x:v>Affiliate</x:v>
      </x:c>
      <x:c r="E236" s="14" t="str">
        <x:v>Lead Gen</x:v>
      </x:c>
      <x:c r="F236" s="14" t="str">
        <x:v>Consumer</x:v>
      </x:c>
      <x:c r="G236" s="14" t="str">
        <x:v>East</x:v>
      </x:c>
      <x:c r="H236" s="14" t="n">
        <x:v>643323</x:v>
      </x:c>
      <x:c r="I236" s="14" t="n">
        <x:v>19378</x:v>
      </x:c>
      <x:c r="J236" s="14" t="n">
        <x:v>1549</x:v>
      </x:c>
      <x:c r="K236" s="14" t="n">
        <x:v>277</x:v>
      </x:c>
      <x:c r="L236" s="15" t="n">
        <x:v>28458.82</x:v>
      </x:c>
      <x:c r="M236" s="15" t="n">
        <x:v>177389.44</x:v>
      </x:c>
    </x:row>
    <x:row r="237">
      <x:c r="A237" s="13" t="n">
        <x:v>45870</x:v>
      </x:c>
      <x:c r="B237" s="14" t="str">
        <x:v>CMP020</x:v>
      </x:c>
      <x:c r="C237" s="14" t="str">
        <x:v>Affiliate_LeadGen_05</x:v>
      </x:c>
      <x:c r="D237" s="14" t="str">
        <x:v>Affiliate</x:v>
      </x:c>
      <x:c r="E237" s="14" t="str">
        <x:v>Lead Gen</x:v>
      </x:c>
      <x:c r="F237" s="14" t="str">
        <x:v>Consumer</x:v>
      </x:c>
      <x:c r="G237" s="14" t="str">
        <x:v>East</x:v>
      </x:c>
      <x:c r="H237" s="14" t="n">
        <x:v>647902</x:v>
      </x:c>
      <x:c r="I237" s="14" t="n">
        <x:v>15408</x:v>
      </x:c>
      <x:c r="J237" s="14" t="n">
        <x:v>1500</x:v>
      </x:c>
      <x:c r="K237" s="14" t="n">
        <x:v>243</x:v>
      </x:c>
      <x:c r="L237" s="15" t="n">
        <x:v>30738.1</x:v>
      </x:c>
      <x:c r="M237" s="15" t="n">
        <x:v>173686.58</x:v>
      </x:c>
    </x:row>
    <x:row r="238">
      <x:c r="A238" s="13" t="n">
        <x:v>45901</x:v>
      </x:c>
      <x:c r="B238" s="14" t="str">
        <x:v>CMP020</x:v>
      </x:c>
      <x:c r="C238" s="14" t="str">
        <x:v>Affiliate_LeadGen_05</x:v>
      </x:c>
      <x:c r="D238" s="14" t="str">
        <x:v>Affiliate</x:v>
      </x:c>
      <x:c r="E238" s="14" t="str">
        <x:v>Lead Gen</x:v>
      </x:c>
      <x:c r="F238" s="14" t="str">
        <x:v>Consumer</x:v>
      </x:c>
      <x:c r="G238" s="14" t="str">
        <x:v>East</x:v>
      </x:c>
      <x:c r="H238" s="14" t="n">
        <x:v>525827</x:v>
      </x:c>
      <x:c r="I238" s="14" t="n">
        <x:v>17385</x:v>
      </x:c>
      <x:c r="J238" s="14" t="n">
        <x:v>1265</x:v>
      </x:c>
      <x:c r="K238" s="14" t="n">
        <x:v>229</x:v>
      </x:c>
      <x:c r="L238" s="15" t="n">
        <x:v>28848.4</x:v>
      </x:c>
      <x:c r="M238" s="15" t="n">
        <x:v>144780.77</x:v>
      </x:c>
    </x:row>
    <x:row r="239">
      <x:c r="A239" s="13" t="n">
        <x:v>45931</x:v>
      </x:c>
      <x:c r="B239" s="14" t="str">
        <x:v>CMP020</x:v>
      </x:c>
      <x:c r="C239" s="14" t="str">
        <x:v>Affiliate_LeadGen_05</x:v>
      </x:c>
      <x:c r="D239" s="14" t="str">
        <x:v>Affiliate</x:v>
      </x:c>
      <x:c r="E239" s="14" t="str">
        <x:v>Lead Gen</x:v>
      </x:c>
      <x:c r="F239" s="14" t="str">
        <x:v>Consumer</x:v>
      </x:c>
      <x:c r="G239" s="14" t="str">
        <x:v>East</x:v>
      </x:c>
      <x:c r="H239" s="14" t="n">
        <x:v>690087</x:v>
      </x:c>
      <x:c r="I239" s="14" t="n">
        <x:v>22851</x:v>
      </x:c>
      <x:c r="J239" s="14" t="n">
        <x:v>1711</x:v>
      </x:c>
      <x:c r="K239" s="14" t="n">
        <x:v>307</x:v>
      </x:c>
      <x:c r="L239" s="15" t="n">
        <x:v>35410.85</x:v>
      </x:c>
      <x:c r="M239" s="15" t="n">
        <x:v>210777.16</x:v>
      </x:c>
    </x:row>
    <x:row r="240">
      <x:c r="A240" s="13" t="n">
        <x:v>45962</x:v>
      </x:c>
      <x:c r="B240" s="14" t="str">
        <x:v>CMP020</x:v>
      </x:c>
      <x:c r="C240" s="14" t="str">
        <x:v>Affiliate_LeadGen_05</x:v>
      </x:c>
      <x:c r="D240" s="14" t="str">
        <x:v>Affiliate</x:v>
      </x:c>
      <x:c r="E240" s="14" t="str">
        <x:v>Lead Gen</x:v>
      </x:c>
      <x:c r="F240" s="14" t="str">
        <x:v>Consumer</x:v>
      </x:c>
      <x:c r="G240" s="14" t="str">
        <x:v>East</x:v>
      </x:c>
      <x:c r="H240" s="14" t="n">
        <x:v>670196</x:v>
      </x:c>
      <x:c r="I240" s="14" t="n">
        <x:v>20995</x:v>
      </x:c>
      <x:c r="J240" s="14" t="n">
        <x:v>1717</x:v>
      </x:c>
      <x:c r="K240" s="14" t="n">
        <x:v>281</x:v>
      </x:c>
      <x:c r="L240" s="15" t="n">
        <x:v>29546.07</x:v>
      </x:c>
      <x:c r="M240" s="15" t="n">
        <x:v>185106.45</x:v>
      </x:c>
    </x:row>
    <x:row r="241">
      <x:c r="A241" s="13" t="n">
        <x:v>45992</x:v>
      </x:c>
      <x:c r="B241" s="14" t="str">
        <x:v>CMP020</x:v>
      </x:c>
      <x:c r="C241" s="14" t="str">
        <x:v>Affiliate_LeadGen_05</x:v>
      </x:c>
      <x:c r="D241" s="14" t="str">
        <x:v>Affiliate</x:v>
      </x:c>
      <x:c r="E241" s="14" t="str">
        <x:v>Lead Gen</x:v>
      </x:c>
      <x:c r="F241" s="14" t="str">
        <x:v>Consumer</x:v>
      </x:c>
      <x:c r="G241" s="14" t="str">
        <x:v>East</x:v>
      </x:c>
      <x:c r="H241" s="14" t="n">
        <x:v>729713</x:v>
      </x:c>
      <x:c r="I241" s="14" t="n">
        <x:v>24133</x:v>
      </x:c>
      <x:c r="J241" s="14" t="n">
        <x:v>1978</x:v>
      </x:c>
      <x:c r="K241" s="14" t="n">
        <x:v>376</x:v>
      </x:c>
      <x:c r="L241" s="15" t="n">
        <x:v>37441.18</x:v>
      </x:c>
      <x:c r="M241" s="15" t="n">
        <x:v>248013.3</x:v>
      </x:c>
    </x:row>
    <x:row r="242">
      <x:c r="A242" s="13" t="n">
        <x:v>45658</x:v>
      </x:c>
      <x:c r="B242" s="14" t="str">
        <x:v>CMP021</x:v>
      </x:c>
      <x:c r="C242" s="14" t="str">
        <x:v>Display_LeadGen_01</x:v>
      </x:c>
      <x:c r="D242" s="14" t="str">
        <x:v>Display</x:v>
      </x:c>
      <x:c r="E242" s="14" t="str">
        <x:v>Lead Gen</x:v>
      </x:c>
      <x:c r="F242" s="14" t="str">
        <x:v>Mid-Market</x:v>
      </x:c>
      <x:c r="G242" s="14" t="str">
        <x:v>East</x:v>
      </x:c>
      <x:c r="H242" s="14" t="n">
        <x:v>337371</x:v>
      </x:c>
      <x:c r="I242" s="14" t="n">
        <x:v>2762</x:v>
      </x:c>
      <x:c r="J242" s="14" t="n">
        <x:v>109</x:v>
      </x:c>
      <x:c r="K242" s="14" t="n">
        <x:v>11</x:v>
      </x:c>
      <x:c r="L242" s="15" t="n">
        <x:v>20404.87</x:v>
      </x:c>
      <x:c r="M242" s="15" t="n">
        <x:v>10123.32</x:v>
      </x:c>
    </x:row>
    <x:row r="243">
      <x:c r="A243" s="13" t="n">
        <x:v>45689</x:v>
      </x:c>
      <x:c r="B243" s="14" t="str">
        <x:v>CMP021</x:v>
      </x:c>
      <x:c r="C243" s="14" t="str">
        <x:v>Display_LeadGen_01</x:v>
      </x:c>
      <x:c r="D243" s="14" t="str">
        <x:v>Display</x:v>
      </x:c>
      <x:c r="E243" s="14" t="str">
        <x:v>Lead Gen</x:v>
      </x:c>
      <x:c r="F243" s="14" t="str">
        <x:v>Mid-Market</x:v>
      </x:c>
      <x:c r="G243" s="14" t="str">
        <x:v>East</x:v>
      </x:c>
      <x:c r="H243" s="14" t="n">
        <x:v>342811</x:v>
      </x:c>
      <x:c r="I243" s="14" t="n">
        <x:v>3633</x:v>
      </x:c>
      <x:c r="J243" s="14" t="n">
        <x:v>145</x:v>
      </x:c>
      <x:c r="K243" s="14" t="n">
        <x:v>16</x:v>
      </x:c>
      <x:c r="L243" s="15" t="n">
        <x:v>19902.48</x:v>
      </x:c>
      <x:c r="M243" s="15" t="n">
        <x:v>14127.63</x:v>
      </x:c>
    </x:row>
    <x:row r="244">
      <x:c r="A244" s="13" t="n">
        <x:v>45717</x:v>
      </x:c>
      <x:c r="B244" s="14" t="str">
        <x:v>CMP021</x:v>
      </x:c>
      <x:c r="C244" s="14" t="str">
        <x:v>Display_LeadGen_01</x:v>
      </x:c>
      <x:c r="D244" s="14" t="str">
        <x:v>Display</x:v>
      </x:c>
      <x:c r="E244" s="14" t="str">
        <x:v>Lead Gen</x:v>
      </x:c>
      <x:c r="F244" s="14" t="str">
        <x:v>Mid-Market</x:v>
      </x:c>
      <x:c r="G244" s="14" t="str">
        <x:v>East</x:v>
      </x:c>
      <x:c r="H244" s="14" t="n">
        <x:v>547613</x:v>
      </x:c>
      <x:c r="I244" s="14" t="n">
        <x:v>4697</x:v>
      </x:c>
      <x:c r="J244" s="14" t="n">
        <x:v>177</x:v>
      </x:c>
      <x:c r="K244" s="14" t="n">
        <x:v>16</x:v>
      </x:c>
      <x:c r="L244" s="15" t="n">
        <x:v>27678.3</x:v>
      </x:c>
      <x:c r="M244" s="15" t="n">
        <x:v>14180.37</x:v>
      </x:c>
    </x:row>
    <x:row r="245">
      <x:c r="A245" s="13" t="n">
        <x:v>45748</x:v>
      </x:c>
      <x:c r="B245" s="14" t="str">
        <x:v>CMP021</x:v>
      </x:c>
      <x:c r="C245" s="14" t="str">
        <x:v>Display_LeadGen_01</x:v>
      </x:c>
      <x:c r="D245" s="14" t="str">
        <x:v>Display</x:v>
      </x:c>
      <x:c r="E245" s="14" t="str">
        <x:v>Lead Gen</x:v>
      </x:c>
      <x:c r="F245" s="14" t="str">
        <x:v>Mid-Market</x:v>
      </x:c>
      <x:c r="G245" s="14" t="str">
        <x:v>East</x:v>
      </x:c>
      <x:c r="H245" s="14" t="n">
        <x:v>491694</x:v>
      </x:c>
      <x:c r="I245" s="14" t="n">
        <x:v>5671</x:v>
      </x:c>
      <x:c r="J245" s="14" t="n">
        <x:v>297</x:v>
      </x:c>
      <x:c r="K245" s="14" t="n">
        <x:v>34</x:v>
      </x:c>
      <x:c r="L245" s="15" t="n">
        <x:v>28774.58</x:v>
      </x:c>
      <x:c r="M245" s="15" t="n">
        <x:v>30111.14</x:v>
      </x:c>
    </x:row>
    <x:row r="246">
      <x:c r="A246" s="13" t="n">
        <x:v>45778</x:v>
      </x:c>
      <x:c r="B246" s="14" t="str">
        <x:v>CMP021</x:v>
      </x:c>
      <x:c r="C246" s="14" t="str">
        <x:v>Display_LeadGen_01</x:v>
      </x:c>
      <x:c r="D246" s="14" t="str">
        <x:v>Display</x:v>
      </x:c>
      <x:c r="E246" s="14" t="str">
        <x:v>Lead Gen</x:v>
      </x:c>
      <x:c r="F246" s="14" t="str">
        <x:v>Mid-Market</x:v>
      </x:c>
      <x:c r="G246" s="14" t="str">
        <x:v>East</x:v>
      </x:c>
      <x:c r="H246" s="14" t="n">
        <x:v>478256</x:v>
      </x:c>
      <x:c r="I246" s="14" t="n">
        <x:v>4381</x:v>
      </x:c>
      <x:c r="J246" s="14" t="n">
        <x:v>171</x:v>
      </x:c>
      <x:c r="K246" s="14" t="n">
        <x:v>20</x:v>
      </x:c>
      <x:c r="L246" s="15" t="n">
        <x:v>24736.56</x:v>
      </x:c>
      <x:c r="M246" s="15" t="n">
        <x:v>17680.75</x:v>
      </x:c>
    </x:row>
    <x:row r="247">
      <x:c r="A247" s="13" t="n">
        <x:v>45809</x:v>
      </x:c>
      <x:c r="B247" s="14" t="str">
        <x:v>CMP021</x:v>
      </x:c>
      <x:c r="C247" s="14" t="str">
        <x:v>Display_LeadGen_01</x:v>
      </x:c>
      <x:c r="D247" s="14" t="str">
        <x:v>Display</x:v>
      </x:c>
      <x:c r="E247" s="14" t="str">
        <x:v>Lead Gen</x:v>
      </x:c>
      <x:c r="F247" s="14" t="str">
        <x:v>Mid-Market</x:v>
      </x:c>
      <x:c r="G247" s="14" t="str">
        <x:v>East</x:v>
      </x:c>
      <x:c r="H247" s="14" t="n">
        <x:v>430430</x:v>
      </x:c>
      <x:c r="I247" s="14" t="n">
        <x:v>3827</x:v>
      </x:c>
      <x:c r="J247" s="14" t="n">
        <x:v>200</x:v>
      </x:c>
      <x:c r="K247" s="14" t="n">
        <x:v>24</x:v>
      </x:c>
      <x:c r="L247" s="15" t="n">
        <x:v>22663.06</x:v>
      </x:c>
      <x:c r="M247" s="15" t="n">
        <x:v>19325.88</x:v>
      </x:c>
    </x:row>
    <x:row r="248">
      <x:c r="A248" s="13" t="n">
        <x:v>45839</x:v>
      </x:c>
      <x:c r="B248" s="14" t="str">
        <x:v>CMP021</x:v>
      </x:c>
      <x:c r="C248" s="14" t="str">
        <x:v>Display_LeadGen_01</x:v>
      </x:c>
      <x:c r="D248" s="14" t="str">
        <x:v>Display</x:v>
      </x:c>
      <x:c r="E248" s="14" t="str">
        <x:v>Lead Gen</x:v>
      </x:c>
      <x:c r="F248" s="14" t="str">
        <x:v>Mid-Market</x:v>
      </x:c>
      <x:c r="G248" s="14" t="str">
        <x:v>East</x:v>
      </x:c>
      <x:c r="H248" s="14" t="n">
        <x:v>452546</x:v>
      </x:c>
      <x:c r="I248" s="14" t="n">
        <x:v>4584</x:v>
      </x:c>
      <x:c r="J248" s="14" t="n">
        <x:v>202</x:v>
      </x:c>
      <x:c r="K248" s="14" t="n">
        <x:v>26</x:v>
      </x:c>
      <x:c r="L248" s="15" t="n">
        <x:v>23823.97</x:v>
      </x:c>
      <x:c r="M248" s="15" t="n">
        <x:v>20463.59</x:v>
      </x:c>
    </x:row>
    <x:row r="249">
      <x:c r="A249" s="13" t="n">
        <x:v>45870</x:v>
      </x:c>
      <x:c r="B249" s="14" t="str">
        <x:v>CMP021</x:v>
      </x:c>
      <x:c r="C249" s="14" t="str">
        <x:v>Display_LeadGen_01</x:v>
      </x:c>
      <x:c r="D249" s="14" t="str">
        <x:v>Display</x:v>
      </x:c>
      <x:c r="E249" s="14" t="str">
        <x:v>Lead Gen</x:v>
      </x:c>
      <x:c r="F249" s="14" t="str">
        <x:v>Mid-Market</x:v>
      </x:c>
      <x:c r="G249" s="14" t="str">
        <x:v>East</x:v>
      </x:c>
      <x:c r="H249" s="14" t="n">
        <x:v>527450</x:v>
      </x:c>
      <x:c r="I249" s="14" t="n">
        <x:v>5016</x:v>
      </x:c>
      <x:c r="J249" s="14" t="n">
        <x:v>241</x:v>
      </x:c>
      <x:c r="K249" s="14" t="n">
        <x:v>26</x:v>
      </x:c>
      <x:c r="L249" s="15" t="n">
        <x:v>25732.43</x:v>
      </x:c>
      <x:c r="M249" s="15" t="n">
        <x:v>21705.71</x:v>
      </x:c>
    </x:row>
    <x:row r="250">
      <x:c r="A250" s="13" t="n">
        <x:v>45901</x:v>
      </x:c>
      <x:c r="B250" s="14" t="str">
        <x:v>CMP021</x:v>
      </x:c>
      <x:c r="C250" s="14" t="str">
        <x:v>Display_LeadGen_01</x:v>
      </x:c>
      <x:c r="D250" s="14" t="str">
        <x:v>Display</x:v>
      </x:c>
      <x:c r="E250" s="14" t="str">
        <x:v>Lead Gen</x:v>
      </x:c>
      <x:c r="F250" s="14" t="str">
        <x:v>Mid-Market</x:v>
      </x:c>
      <x:c r="G250" s="14" t="str">
        <x:v>East</x:v>
      </x:c>
      <x:c r="H250" s="14" t="n">
        <x:v>430601</x:v>
      </x:c>
      <x:c r="I250" s="14" t="n">
        <x:v>3677</x:v>
      </x:c>
      <x:c r="J250" s="14" t="n">
        <x:v>153</x:v>
      </x:c>
      <x:c r="K250" s="14" t="n">
        <x:v>13</x:v>
      </x:c>
      <x:c r="L250" s="15" t="n">
        <x:v>23873.2</x:v>
      </x:c>
      <x:c r="M250" s="15" t="n">
        <x:v>10974.49</x:v>
      </x:c>
    </x:row>
    <x:row r="251">
      <x:c r="A251" s="13" t="n">
        <x:v>45931</x:v>
      </x:c>
      <x:c r="B251" s="14" t="str">
        <x:v>CMP021</x:v>
      </x:c>
      <x:c r="C251" s="14" t="str">
        <x:v>Display_LeadGen_01</x:v>
      </x:c>
      <x:c r="D251" s="14" t="str">
        <x:v>Display</x:v>
      </x:c>
      <x:c r="E251" s="14" t="str">
        <x:v>Lead Gen</x:v>
      </x:c>
      <x:c r="F251" s="14" t="str">
        <x:v>Mid-Market</x:v>
      </x:c>
      <x:c r="G251" s="14" t="str">
        <x:v>East</x:v>
      </x:c>
      <x:c r="H251" s="14" t="n">
        <x:v>517743</x:v>
      </x:c>
      <x:c r="I251" s="14" t="n">
        <x:v>5716</x:v>
      </x:c>
      <x:c r="J251" s="14" t="n">
        <x:v>259</x:v>
      </x:c>
      <x:c r="K251" s="14" t="n">
        <x:v>29</x:v>
      </x:c>
      <x:c r="L251" s="15" t="n">
        <x:v>25682.39</x:v>
      </x:c>
      <x:c r="M251" s="15" t="n">
        <x:v>25970.16</x:v>
      </x:c>
    </x:row>
    <x:row r="252">
      <x:c r="A252" s="13" t="n">
        <x:v>45962</x:v>
      </x:c>
      <x:c r="B252" s="14" t="str">
        <x:v>CMP021</x:v>
      </x:c>
      <x:c r="C252" s="14" t="str">
        <x:v>Display_LeadGen_01</x:v>
      </x:c>
      <x:c r="D252" s="14" t="str">
        <x:v>Display</x:v>
      </x:c>
      <x:c r="E252" s="14" t="str">
        <x:v>Lead Gen</x:v>
      </x:c>
      <x:c r="F252" s="14" t="str">
        <x:v>Mid-Market</x:v>
      </x:c>
      <x:c r="G252" s="14" t="str">
        <x:v>East</x:v>
      </x:c>
      <x:c r="H252" s="14" t="n">
        <x:v>443881</x:v>
      </x:c>
      <x:c r="I252" s="14" t="n">
        <x:v>4963</x:v>
      </x:c>
      <x:c r="J252" s="14" t="n">
        <x:v>247</x:v>
      </x:c>
      <x:c r="K252" s="14" t="n">
        <x:v>27</x:v>
      </x:c>
      <x:c r="L252" s="15" t="n">
        <x:v>24191.49</x:v>
      </x:c>
      <x:c r="M252" s="15" t="n">
        <x:v>22050.93</x:v>
      </x:c>
    </x:row>
    <x:row r="253">
      <x:c r="A253" s="13" t="n">
        <x:v>45992</x:v>
      </x:c>
      <x:c r="B253" s="14" t="str">
        <x:v>CMP021</x:v>
      </x:c>
      <x:c r="C253" s="14" t="str">
        <x:v>Display_LeadGen_01</x:v>
      </x:c>
      <x:c r="D253" s="14" t="str">
        <x:v>Display</x:v>
      </x:c>
      <x:c r="E253" s="14" t="str">
        <x:v>Lead Gen</x:v>
      </x:c>
      <x:c r="F253" s="14" t="str">
        <x:v>Mid-Market</x:v>
      </x:c>
      <x:c r="G253" s="14" t="str">
        <x:v>East</x:v>
      </x:c>
      <x:c r="H253" s="14" t="n">
        <x:v>424726</x:v>
      </x:c>
      <x:c r="I253" s="14" t="n">
        <x:v>3778</x:v>
      </x:c>
      <x:c r="J253" s="14" t="n">
        <x:v>195</x:v>
      </x:c>
      <x:c r="K253" s="14" t="n">
        <x:v>21</x:v>
      </x:c>
      <x:c r="L253" s="15" t="n">
        <x:v>25545.17</x:v>
      </x:c>
      <x:c r="M253" s="15" t="n">
        <x:v>17079.05</x:v>
      </x:c>
    </x:row>
    <x:row r="254">
      <x:c r="A254" s="13" t="n">
        <x:v>45658</x:v>
      </x:c>
      <x:c r="B254" s="14" t="str">
        <x:v>CMP022</x:v>
      </x:c>
      <x:c r="C254" s="14" t="str">
        <x:v>Display_Acquisition_02</x:v>
      </x:c>
      <x:c r="D254" s="14" t="str">
        <x:v>Display</x:v>
      </x:c>
      <x:c r="E254" s="14" t="str">
        <x:v>Acquisition</x:v>
      </x:c>
      <x:c r="F254" s="14" t="str">
        <x:v>Mid-Market</x:v>
      </x:c>
      <x:c r="G254" s="14" t="str">
        <x:v>South</x:v>
      </x:c>
      <x:c r="H254" s="14" t="n">
        <x:v>670257</x:v>
      </x:c>
      <x:c r="I254" s="14" t="n">
        <x:v>6333</x:v>
      </x:c>
      <x:c r="J254" s="14" t="n">
        <x:v>291</x:v>
      </x:c>
      <x:c r="K254" s="14" t="n">
        <x:v>32</x:v>
      </x:c>
      <x:c r="L254" s="15" t="n">
        <x:v>27228.35</x:v>
      </x:c>
      <x:c r="M254" s="15" t="n">
        <x:v>25397.38</x:v>
      </x:c>
    </x:row>
    <x:row r="255">
      <x:c r="A255" s="13" t="n">
        <x:v>45689</x:v>
      </x:c>
      <x:c r="B255" s="14" t="str">
        <x:v>CMP022</x:v>
      </x:c>
      <x:c r="C255" s="14" t="str">
        <x:v>Display_Acquisition_02</x:v>
      </x:c>
      <x:c r="D255" s="14" t="str">
        <x:v>Display</x:v>
      </x:c>
      <x:c r="E255" s="14" t="str">
        <x:v>Acquisition</x:v>
      </x:c>
      <x:c r="F255" s="14" t="str">
        <x:v>Mid-Market</x:v>
      </x:c>
      <x:c r="G255" s="14" t="str">
        <x:v>South</x:v>
      </x:c>
      <x:c r="H255" s="14" t="n">
        <x:v>771369</x:v>
      </x:c>
      <x:c r="I255" s="14" t="n">
        <x:v>8294</x:v>
      </x:c>
      <x:c r="J255" s="14" t="n">
        <x:v>407</x:v>
      </x:c>
      <x:c r="K255" s="14" t="n">
        <x:v>47</x:v>
      </x:c>
      <x:c r="L255" s="15" t="n">
        <x:v>31575.74</x:v>
      </x:c>
      <x:c r="M255" s="15" t="n">
        <x:v>42686.81</x:v>
      </x:c>
    </x:row>
    <x:row r="256">
      <x:c r="A256" s="13" t="n">
        <x:v>45717</x:v>
      </x:c>
      <x:c r="B256" s="14" t="str">
        <x:v>CMP022</x:v>
      </x:c>
      <x:c r="C256" s="14" t="str">
        <x:v>Display_Acquisition_02</x:v>
      </x:c>
      <x:c r="D256" s="14" t="str">
        <x:v>Display</x:v>
      </x:c>
      <x:c r="E256" s="14" t="str">
        <x:v>Acquisition</x:v>
      </x:c>
      <x:c r="F256" s="14" t="str">
        <x:v>Mid-Market</x:v>
      </x:c>
      <x:c r="G256" s="14" t="str">
        <x:v>South</x:v>
      </x:c>
      <x:c r="H256" s="14" t="n">
        <x:v>617471</x:v>
      </x:c>
      <x:c r="I256" s="14" t="n">
        <x:v>5214</x:v>
      </x:c>
      <x:c r="J256" s="14" t="n">
        <x:v>198</x:v>
      </x:c>
      <x:c r="K256" s="14" t="n">
        <x:v>23</x:v>
      </x:c>
      <x:c r="L256" s="15" t="n">
        <x:v>29715.1</x:v>
      </x:c>
      <x:c r="M256" s="15" t="n">
        <x:v>19850.18</x:v>
      </x:c>
    </x:row>
    <x:row r="257">
      <x:c r="A257" s="13" t="n">
        <x:v>45748</x:v>
      </x:c>
      <x:c r="B257" s="14" t="str">
        <x:v>CMP022</x:v>
      </x:c>
      <x:c r="C257" s="14" t="str">
        <x:v>Display_Acquisition_02</x:v>
      </x:c>
      <x:c r="D257" s="14" t="str">
        <x:v>Display</x:v>
      </x:c>
      <x:c r="E257" s="14" t="str">
        <x:v>Acquisition</x:v>
      </x:c>
      <x:c r="F257" s="14" t="str">
        <x:v>Mid-Market</x:v>
      </x:c>
      <x:c r="G257" s="14" t="str">
        <x:v>South</x:v>
      </x:c>
      <x:c r="H257" s="14" t="n">
        <x:v>668467</x:v>
      </x:c>
      <x:c r="I257" s="14" t="n">
        <x:v>6595</x:v>
      </x:c>
      <x:c r="J257" s="14" t="n">
        <x:v>315</x:v>
      </x:c>
      <x:c r="K257" s="14" t="n">
        <x:v>35</x:v>
      </x:c>
      <x:c r="L257" s="15" t="n">
        <x:v>31751.86</x:v>
      </x:c>
      <x:c r="M257" s="15" t="n">
        <x:v>30506.63</x:v>
      </x:c>
    </x:row>
    <x:row r="258">
      <x:c r="A258" s="13" t="n">
        <x:v>45778</x:v>
      </x:c>
      <x:c r="B258" s="14" t="str">
        <x:v>CMP022</x:v>
      </x:c>
      <x:c r="C258" s="14" t="str">
        <x:v>Display_Acquisition_02</x:v>
      </x:c>
      <x:c r="D258" s="14" t="str">
        <x:v>Display</x:v>
      </x:c>
      <x:c r="E258" s="14" t="str">
        <x:v>Acquisition</x:v>
      </x:c>
      <x:c r="F258" s="14" t="str">
        <x:v>Mid-Market</x:v>
      </x:c>
      <x:c r="G258" s="14" t="str">
        <x:v>South</x:v>
      </x:c>
      <x:c r="H258" s="14" t="n">
        <x:v>559346</x:v>
      </x:c>
      <x:c r="I258" s="14" t="n">
        <x:v>5654</x:v>
      </x:c>
      <x:c r="J258" s="14" t="n">
        <x:v>285</x:v>
      </x:c>
      <x:c r="K258" s="14" t="n">
        <x:v>34</x:v>
      </x:c>
      <x:c r="L258" s="15" t="n">
        <x:v>27705.4</x:v>
      </x:c>
      <x:c r="M258" s="15" t="n">
        <x:v>27729.17</x:v>
      </x:c>
    </x:row>
    <x:row r="259">
      <x:c r="A259" s="13" t="n">
        <x:v>45809</x:v>
      </x:c>
      <x:c r="B259" s="14" t="str">
        <x:v>CMP022</x:v>
      </x:c>
      <x:c r="C259" s="14" t="str">
        <x:v>Display_Acquisition_02</x:v>
      </x:c>
      <x:c r="D259" s="14" t="str">
        <x:v>Display</x:v>
      </x:c>
      <x:c r="E259" s="14" t="str">
        <x:v>Acquisition</x:v>
      </x:c>
      <x:c r="F259" s="14" t="str">
        <x:v>Mid-Market</x:v>
      </x:c>
      <x:c r="G259" s="14" t="str">
        <x:v>South</x:v>
      </x:c>
      <x:c r="H259" s="14" t="n">
        <x:v>667540</x:v>
      </x:c>
      <x:c r="I259" s="14" t="n">
        <x:v>6642</x:v>
      </x:c>
      <x:c r="J259" s="14" t="n">
        <x:v>300</x:v>
      </x:c>
      <x:c r="K259" s="14" t="n">
        <x:v>29</x:v>
      </x:c>
      <x:c r="L259" s="15" t="n">
        <x:v>26651.28</x:v>
      </x:c>
      <x:c r="M259" s="15" t="n">
        <x:v>25175.84</x:v>
      </x:c>
    </x:row>
    <x:row r="260">
      <x:c r="A260" s="13" t="n">
        <x:v>45839</x:v>
      </x:c>
      <x:c r="B260" s="14" t="str">
        <x:v>CMP022</x:v>
      </x:c>
      <x:c r="C260" s="14" t="str">
        <x:v>Display_Acquisition_02</x:v>
      </x:c>
      <x:c r="D260" s="14" t="str">
        <x:v>Display</x:v>
      </x:c>
      <x:c r="E260" s="14" t="str">
        <x:v>Acquisition</x:v>
      </x:c>
      <x:c r="F260" s="14" t="str">
        <x:v>Mid-Market</x:v>
      </x:c>
      <x:c r="G260" s="14" t="str">
        <x:v>South</x:v>
      </x:c>
      <x:c r="H260" s="14" t="n">
        <x:v>582723</x:v>
      </x:c>
      <x:c r="I260" s="14" t="n">
        <x:v>6426</x:v>
      </x:c>
      <x:c r="J260" s="14" t="n">
        <x:v>330</x:v>
      </x:c>
      <x:c r="K260" s="14" t="n">
        <x:v>43</x:v>
      </x:c>
      <x:c r="L260" s="15" t="n">
        <x:v>27375.67</x:v>
      </x:c>
      <x:c r="M260" s="15" t="n">
        <x:v>33850.9</x:v>
      </x:c>
    </x:row>
    <x:row r="261">
      <x:c r="A261" s="13" t="n">
        <x:v>45870</x:v>
      </x:c>
      <x:c r="B261" s="14" t="str">
        <x:v>CMP022</x:v>
      </x:c>
      <x:c r="C261" s="14" t="str">
        <x:v>Display_Acquisition_02</x:v>
      </x:c>
      <x:c r="D261" s="14" t="str">
        <x:v>Display</x:v>
      </x:c>
      <x:c r="E261" s="14" t="str">
        <x:v>Acquisition</x:v>
      </x:c>
      <x:c r="F261" s="14" t="str">
        <x:v>Mid-Market</x:v>
      </x:c>
      <x:c r="G261" s="14" t="str">
        <x:v>South</x:v>
      </x:c>
      <x:c r="H261" s="14" t="n">
        <x:v>591593</x:v>
      </x:c>
      <x:c r="I261" s="14" t="n">
        <x:v>5625</x:v>
      </x:c>
      <x:c r="J261" s="14" t="n">
        <x:v>252</x:v>
      </x:c>
      <x:c r="K261" s="14" t="n">
        <x:v>25</x:v>
      </x:c>
      <x:c r="L261" s="15" t="n">
        <x:v>26799.15</x:v>
      </x:c>
      <x:c r="M261" s="15" t="n">
        <x:v>20178.66</x:v>
      </x:c>
    </x:row>
    <x:row r="262">
      <x:c r="A262" s="13" t="n">
        <x:v>45901</x:v>
      </x:c>
      <x:c r="B262" s="14" t="str">
        <x:v>CMP022</x:v>
      </x:c>
      <x:c r="C262" s="14" t="str">
        <x:v>Display_Acquisition_02</x:v>
      </x:c>
      <x:c r="D262" s="14" t="str">
        <x:v>Display</x:v>
      </x:c>
      <x:c r="E262" s="14" t="str">
        <x:v>Acquisition</x:v>
      </x:c>
      <x:c r="F262" s="14" t="str">
        <x:v>Mid-Market</x:v>
      </x:c>
      <x:c r="G262" s="14" t="str">
        <x:v>South</x:v>
      </x:c>
      <x:c r="H262" s="14" t="n">
        <x:v>616293</x:v>
      </x:c>
      <x:c r="I262" s="14" t="n">
        <x:v>6007</x:v>
      </x:c>
      <x:c r="J262" s="14" t="n">
        <x:v>284</x:v>
      </x:c>
      <x:c r="K262" s="14" t="n">
        <x:v>28</x:v>
      </x:c>
      <x:c r="L262" s="15" t="n">
        <x:v>26125.82</x:v>
      </x:c>
      <x:c r="M262" s="15" t="n">
        <x:v>25538.86</x:v>
      </x:c>
    </x:row>
    <x:row r="263">
      <x:c r="A263" s="13" t="n">
        <x:v>45931</x:v>
      </x:c>
      <x:c r="B263" s="14" t="str">
        <x:v>CMP022</x:v>
      </x:c>
      <x:c r="C263" s="14" t="str">
        <x:v>Display_Acquisition_02</x:v>
      </x:c>
      <x:c r="D263" s="14" t="str">
        <x:v>Display</x:v>
      </x:c>
      <x:c r="E263" s="14" t="str">
        <x:v>Acquisition</x:v>
      </x:c>
      <x:c r="F263" s="14" t="str">
        <x:v>Mid-Market</x:v>
      </x:c>
      <x:c r="G263" s="14" t="str">
        <x:v>South</x:v>
      </x:c>
      <x:c r="H263" s="14" t="n">
        <x:v>648914</x:v>
      </x:c>
      <x:c r="I263" s="14" t="n">
        <x:v>6785</x:v>
      </x:c>
      <x:c r="J263" s="14" t="n">
        <x:v>287</x:v>
      </x:c>
      <x:c r="K263" s="14" t="n">
        <x:v>35</x:v>
      </x:c>
      <x:c r="L263" s="15" t="n">
        <x:v>27767.5</x:v>
      </x:c>
      <x:c r="M263" s="15" t="n">
        <x:v>29739.68</x:v>
      </x:c>
    </x:row>
    <x:row r="264">
      <x:c r="A264" s="13" t="n">
        <x:v>45962</x:v>
      </x:c>
      <x:c r="B264" s="14" t="str">
        <x:v>CMP022</x:v>
      </x:c>
      <x:c r="C264" s="14" t="str">
        <x:v>Display_Acquisition_02</x:v>
      </x:c>
      <x:c r="D264" s="14" t="str">
        <x:v>Display</x:v>
      </x:c>
      <x:c r="E264" s="14" t="str">
        <x:v>Acquisition</x:v>
      </x:c>
      <x:c r="F264" s="14" t="str">
        <x:v>Mid-Market</x:v>
      </x:c>
      <x:c r="G264" s="14" t="str">
        <x:v>South</x:v>
      </x:c>
      <x:c r="H264" s="14" t="n">
        <x:v>754006</x:v>
      </x:c>
      <x:c r="I264" s="14" t="n">
        <x:v>7140</x:v>
      </x:c>
      <x:c r="J264" s="14" t="n">
        <x:v>269</x:v>
      </x:c>
      <x:c r="K264" s="14" t="n">
        <x:v>35</x:v>
      </x:c>
      <x:c r="L264" s="15" t="n">
        <x:v>33648.38</x:v>
      </x:c>
      <x:c r="M264" s="15" t="n">
        <x:v>29782.39</x:v>
      </x:c>
    </x:row>
    <x:row r="265">
      <x:c r="A265" s="13" t="n">
        <x:v>45992</x:v>
      </x:c>
      <x:c r="B265" s="14" t="str">
        <x:v>CMP022</x:v>
      </x:c>
      <x:c r="C265" s="14" t="str">
        <x:v>Display_Acquisition_02</x:v>
      </x:c>
      <x:c r="D265" s="14" t="str">
        <x:v>Display</x:v>
      </x:c>
      <x:c r="E265" s="14" t="str">
        <x:v>Acquisition</x:v>
      </x:c>
      <x:c r="F265" s="14" t="str">
        <x:v>Mid-Market</x:v>
      </x:c>
      <x:c r="G265" s="14" t="str">
        <x:v>South</x:v>
      </x:c>
      <x:c r="H265" s="14" t="n">
        <x:v>965806</x:v>
      </x:c>
      <x:c r="I265" s="14" t="n">
        <x:v>9303</x:v>
      </x:c>
      <x:c r="J265" s="14" t="n">
        <x:v>354</x:v>
      </x:c>
      <x:c r="K265" s="14" t="n">
        <x:v>39</x:v>
      </x:c>
      <x:c r="L265" s="15" t="n">
        <x:v>40165.61</x:v>
      </x:c>
      <x:c r="M265" s="15" t="n">
        <x:v>35684.91</x:v>
      </x:c>
    </x:row>
    <x:row r="266">
      <x:c r="A266" s="13" t="n">
        <x:v>45658</x:v>
      </x:c>
      <x:c r="B266" s="14" t="str">
        <x:v>CMP023</x:v>
      </x:c>
      <x:c r="C266" s="14" t="str">
        <x:v>Display_LeadGen_03</x:v>
      </x:c>
      <x:c r="D266" s="14" t="str">
        <x:v>Display</x:v>
      </x:c>
      <x:c r="E266" s="14" t="str">
        <x:v>Lead Gen</x:v>
      </x:c>
      <x:c r="F266" s="14" t="str">
        <x:v>Consumer</x:v>
      </x:c>
      <x:c r="G266" s="14" t="str">
        <x:v>West</x:v>
      </x:c>
      <x:c r="H266" s="14" t="n">
        <x:v>605157</x:v>
      </x:c>
      <x:c r="I266" s="14" t="n">
        <x:v>6943</x:v>
      </x:c>
      <x:c r="J266" s="14" t="n">
        <x:v>339</x:v>
      </x:c>
      <x:c r="K266" s="14" t="n">
        <x:v>41</x:v>
      </x:c>
      <x:c r="L266" s="15" t="n">
        <x:v>28121.95</x:v>
      </x:c>
      <x:c r="M266" s="15" t="n">
        <x:v>33915.58</x:v>
      </x:c>
    </x:row>
    <x:row r="267">
      <x:c r="A267" s="13" t="n">
        <x:v>45689</x:v>
      </x:c>
      <x:c r="B267" s="14" t="str">
        <x:v>CMP023</x:v>
      </x:c>
      <x:c r="C267" s="14" t="str">
        <x:v>Display_LeadGen_03</x:v>
      </x:c>
      <x:c r="D267" s="14" t="str">
        <x:v>Display</x:v>
      </x:c>
      <x:c r="E267" s="14" t="str">
        <x:v>Lead Gen</x:v>
      </x:c>
      <x:c r="F267" s="14" t="str">
        <x:v>Consumer</x:v>
      </x:c>
      <x:c r="G267" s="14" t="str">
        <x:v>West</x:v>
      </x:c>
      <x:c r="H267" s="14" t="n">
        <x:v>526607</x:v>
      </x:c>
      <x:c r="I267" s="14" t="n">
        <x:v>4727</x:v>
      </x:c>
      <x:c r="J267" s="14" t="n">
        <x:v>218</x:v>
      </x:c>
      <x:c r="K267" s="14" t="n">
        <x:v>20</x:v>
      </x:c>
      <x:c r="L267" s="15" t="n">
        <x:v>25303.97</x:v>
      </x:c>
      <x:c r="M267" s="15" t="n">
        <x:v>17014.47</x:v>
      </x:c>
    </x:row>
    <x:row r="268">
      <x:c r="A268" s="13" t="n">
        <x:v>45717</x:v>
      </x:c>
      <x:c r="B268" s="14" t="str">
        <x:v>CMP023</x:v>
      </x:c>
      <x:c r="C268" s="14" t="str">
        <x:v>Display_LeadGen_03</x:v>
      </x:c>
      <x:c r="D268" s="14" t="str">
        <x:v>Display</x:v>
      </x:c>
      <x:c r="E268" s="14" t="str">
        <x:v>Lead Gen</x:v>
      </x:c>
      <x:c r="F268" s="14" t="str">
        <x:v>Consumer</x:v>
      </x:c>
      <x:c r="G268" s="14" t="str">
        <x:v>West</x:v>
      </x:c>
      <x:c r="H268" s="14" t="n">
        <x:v>666701</x:v>
      </x:c>
      <x:c r="I268" s="14" t="n">
        <x:v>7907</x:v>
      </x:c>
      <x:c r="J268" s="14" t="n">
        <x:v>381</x:v>
      </x:c>
      <x:c r="K268" s="14" t="n">
        <x:v>35</x:v>
      </x:c>
      <x:c r="L268" s="15" t="n">
        <x:v>29838.68</x:v>
      </x:c>
      <x:c r="M268" s="15" t="n">
        <x:v>32576.74</x:v>
      </x:c>
    </x:row>
    <x:row r="269">
      <x:c r="A269" s="13" t="n">
        <x:v>45748</x:v>
      </x:c>
      <x:c r="B269" s="14" t="str">
        <x:v>CMP023</x:v>
      </x:c>
      <x:c r="C269" s="14" t="str">
        <x:v>Display_LeadGen_03</x:v>
      </x:c>
      <x:c r="D269" s="14" t="str">
        <x:v>Display</x:v>
      </x:c>
      <x:c r="E269" s="14" t="str">
        <x:v>Lead Gen</x:v>
      </x:c>
      <x:c r="F269" s="14" t="str">
        <x:v>Consumer</x:v>
      </x:c>
      <x:c r="G269" s="14" t="str">
        <x:v>West</x:v>
      </x:c>
      <x:c r="H269" s="14" t="n">
        <x:v>546265</x:v>
      </x:c>
      <x:c r="I269" s="14" t="n">
        <x:v>5189</x:v>
      </x:c>
      <x:c r="J269" s="14" t="n">
        <x:v>271</x:v>
      </x:c>
      <x:c r="K269" s="14" t="n">
        <x:v>33</x:v>
      </x:c>
      <x:c r="L269" s="15" t="n">
        <x:v>27640.05</x:v>
      </x:c>
      <x:c r="M269" s="15" t="n">
        <x:v>26361.71</x:v>
      </x:c>
    </x:row>
    <x:row r="270">
      <x:c r="A270" s="13" t="n">
        <x:v>45778</x:v>
      </x:c>
      <x:c r="B270" s="14" t="str">
        <x:v>CMP023</x:v>
      </x:c>
      <x:c r="C270" s="14" t="str">
        <x:v>Display_LeadGen_03</x:v>
      </x:c>
      <x:c r="D270" s="14" t="str">
        <x:v>Display</x:v>
      </x:c>
      <x:c r="E270" s="14" t="str">
        <x:v>Lead Gen</x:v>
      </x:c>
      <x:c r="F270" s="14" t="str">
        <x:v>Consumer</x:v>
      </x:c>
      <x:c r="G270" s="14" t="str">
        <x:v>West</x:v>
      </x:c>
      <x:c r="H270" s="14" t="n">
        <x:v>595562</x:v>
      </x:c>
      <x:c r="I270" s="14" t="n">
        <x:v>5023</x:v>
      </x:c>
      <x:c r="J270" s="14" t="n">
        <x:v>197</x:v>
      </x:c>
      <x:c r="K270" s="14" t="n">
        <x:v>20</x:v>
      </x:c>
      <x:c r="L270" s="15" t="n">
        <x:v>28143.13</x:v>
      </x:c>
      <x:c r="M270" s="15" t="n">
        <x:v>16910.73</x:v>
      </x:c>
    </x:row>
    <x:row r="271">
      <x:c r="A271" s="13" t="n">
        <x:v>45809</x:v>
      </x:c>
      <x:c r="B271" s="14" t="str">
        <x:v>CMP023</x:v>
      </x:c>
      <x:c r="C271" s="14" t="str">
        <x:v>Display_LeadGen_03</x:v>
      </x:c>
      <x:c r="D271" s="14" t="str">
        <x:v>Display</x:v>
      </x:c>
      <x:c r="E271" s="14" t="str">
        <x:v>Lead Gen</x:v>
      </x:c>
      <x:c r="F271" s="14" t="str">
        <x:v>Consumer</x:v>
      </x:c>
      <x:c r="G271" s="14" t="str">
        <x:v>West</x:v>
      </x:c>
      <x:c r="H271" s="14" t="n">
        <x:v>593498</x:v>
      </x:c>
      <x:c r="I271" s="14" t="n">
        <x:v>6018</x:v>
      </x:c>
      <x:c r="J271" s="14" t="n">
        <x:v>255</x:v>
      </x:c>
      <x:c r="K271" s="14" t="n">
        <x:v>29</x:v>
      </x:c>
      <x:c r="L271" s="15" t="n">
        <x:v>28760.28</x:v>
      </x:c>
      <x:c r="M271" s="15" t="n">
        <x:v>22986.14</x:v>
      </x:c>
    </x:row>
    <x:row r="272">
      <x:c r="A272" s="13" t="n">
        <x:v>45839</x:v>
      </x:c>
      <x:c r="B272" s="14" t="str">
        <x:v>CMP023</x:v>
      </x:c>
      <x:c r="C272" s="14" t="str">
        <x:v>Display_LeadGen_03</x:v>
      </x:c>
      <x:c r="D272" s="14" t="str">
        <x:v>Display</x:v>
      </x:c>
      <x:c r="E272" s="14" t="str">
        <x:v>Lead Gen</x:v>
      </x:c>
      <x:c r="F272" s="14" t="str">
        <x:v>Consumer</x:v>
      </x:c>
      <x:c r="G272" s="14" t="str">
        <x:v>West</x:v>
      </x:c>
      <x:c r="H272" s="14" t="n">
        <x:v>637011</x:v>
      </x:c>
      <x:c r="I272" s="14" t="n">
        <x:v>5959</x:v>
      </x:c>
      <x:c r="J272" s="14" t="n">
        <x:v>253</x:v>
      </x:c>
      <x:c r="K272" s="14" t="n">
        <x:v>31</x:v>
      </x:c>
      <x:c r="L272" s="15" t="n">
        <x:v>31830.14</x:v>
      </x:c>
      <x:c r="M272" s="15" t="n">
        <x:v>26520.43</x:v>
      </x:c>
    </x:row>
    <x:row r="273">
      <x:c r="A273" s="13" t="n">
        <x:v>45870</x:v>
      </x:c>
      <x:c r="B273" s="14" t="str">
        <x:v>CMP023</x:v>
      </x:c>
      <x:c r="C273" s="14" t="str">
        <x:v>Display_LeadGen_03</x:v>
      </x:c>
      <x:c r="D273" s="14" t="str">
        <x:v>Display</x:v>
      </x:c>
      <x:c r="E273" s="14" t="str">
        <x:v>Lead Gen</x:v>
      </x:c>
      <x:c r="F273" s="14" t="str">
        <x:v>Consumer</x:v>
      </x:c>
      <x:c r="G273" s="14" t="str">
        <x:v>West</x:v>
      </x:c>
      <x:c r="H273" s="14" t="n">
        <x:v>626336</x:v>
      </x:c>
      <x:c r="I273" s="14" t="n">
        <x:v>7034</x:v>
      </x:c>
      <x:c r="J273" s="14" t="n">
        <x:v>303</x:v>
      </x:c>
      <x:c r="K273" s="14" t="n">
        <x:v>35</x:v>
      </x:c>
      <x:c r="L273" s="15" t="n">
        <x:v>28174.69</x:v>
      </x:c>
      <x:c r="M273" s="15" t="n">
        <x:v>32605.39</x:v>
      </x:c>
    </x:row>
    <x:row r="274">
      <x:c r="A274" s="13" t="n">
        <x:v>45901</x:v>
      </x:c>
      <x:c r="B274" s="14" t="str">
        <x:v>CMP023</x:v>
      </x:c>
      <x:c r="C274" s="14" t="str">
        <x:v>Display_LeadGen_03</x:v>
      </x:c>
      <x:c r="D274" s="14" t="str">
        <x:v>Display</x:v>
      </x:c>
      <x:c r="E274" s="14" t="str">
        <x:v>Lead Gen</x:v>
      </x:c>
      <x:c r="F274" s="14" t="str">
        <x:v>Consumer</x:v>
      </x:c>
      <x:c r="G274" s="14" t="str">
        <x:v>West</x:v>
      </x:c>
      <x:c r="H274" s="14" t="n">
        <x:v>574786</x:v>
      </x:c>
      <x:c r="I274" s="14" t="n">
        <x:v>6266</x:v>
      </x:c>
      <x:c r="J274" s="14" t="n">
        <x:v>302</x:v>
      </x:c>
      <x:c r="K274" s="14" t="n">
        <x:v>27</x:v>
      </x:c>
      <x:c r="L274" s="15" t="n">
        <x:v>29095.3</x:v>
      </x:c>
      <x:c r="M274" s="15" t="n">
        <x:v>22833.37</x:v>
      </x:c>
    </x:row>
    <x:row r="275">
      <x:c r="A275" s="13" t="n">
        <x:v>45931</x:v>
      </x:c>
      <x:c r="B275" s="14" t="str">
        <x:v>CMP023</x:v>
      </x:c>
      <x:c r="C275" s="14" t="str">
        <x:v>Display_LeadGen_03</x:v>
      </x:c>
      <x:c r="D275" s="14" t="str">
        <x:v>Display</x:v>
      </x:c>
      <x:c r="E275" s="14" t="str">
        <x:v>Lead Gen</x:v>
      </x:c>
      <x:c r="F275" s="14" t="str">
        <x:v>Consumer</x:v>
      </x:c>
      <x:c r="G275" s="14" t="str">
        <x:v>West</x:v>
      </x:c>
      <x:c r="H275" s="14" t="n">
        <x:v>670530</x:v>
      </x:c>
      <x:c r="I275" s="14" t="n">
        <x:v>7434</x:v>
      </x:c>
      <x:c r="J275" s="14" t="n">
        <x:v>345</x:v>
      </x:c>
      <x:c r="K275" s="14" t="n">
        <x:v>41</x:v>
      </x:c>
      <x:c r="L275" s="15" t="n">
        <x:v>33836.46</x:v>
      </x:c>
      <x:c r="M275" s="15" t="n">
        <x:v>35432.16</x:v>
      </x:c>
    </x:row>
    <x:row r="276">
      <x:c r="A276" s="13" t="n">
        <x:v>45962</x:v>
      </x:c>
      <x:c r="B276" s="14" t="str">
        <x:v>CMP023</x:v>
      </x:c>
      <x:c r="C276" s="14" t="str">
        <x:v>Display_LeadGen_03</x:v>
      </x:c>
      <x:c r="D276" s="14" t="str">
        <x:v>Display</x:v>
      </x:c>
      <x:c r="E276" s="14" t="str">
        <x:v>Lead Gen</x:v>
      </x:c>
      <x:c r="F276" s="14" t="str">
        <x:v>Consumer</x:v>
      </x:c>
      <x:c r="G276" s="14" t="str">
        <x:v>West</x:v>
      </x:c>
      <x:c r="H276" s="14" t="n">
        <x:v>580943</x:v>
      </x:c>
      <x:c r="I276" s="14" t="n">
        <x:v>6111</x:v>
      </x:c>
      <x:c r="J276" s="14" t="n">
        <x:v>310</x:v>
      </x:c>
      <x:c r="K276" s="14" t="n">
        <x:v>29</x:v>
      </x:c>
      <x:c r="L276" s="15" t="n">
        <x:v>28301.89</x:v>
      </x:c>
      <x:c r="M276" s="15" t="n">
        <x:v>25540.98</x:v>
      </x:c>
    </x:row>
    <x:row r="277">
      <x:c r="A277" s="13" t="n">
        <x:v>45992</x:v>
      </x:c>
      <x:c r="B277" s="14" t="str">
        <x:v>CMP023</x:v>
      </x:c>
      <x:c r="C277" s="14" t="str">
        <x:v>Display_LeadGen_03</x:v>
      </x:c>
      <x:c r="D277" s="14" t="str">
        <x:v>Display</x:v>
      </x:c>
      <x:c r="E277" s="14" t="str">
        <x:v>Lead Gen</x:v>
      </x:c>
      <x:c r="F277" s="14" t="str">
        <x:v>Consumer</x:v>
      </x:c>
      <x:c r="G277" s="14" t="str">
        <x:v>West</x:v>
      </x:c>
      <x:c r="H277" s="14" t="n">
        <x:v>536229</x:v>
      </x:c>
      <x:c r="I277" s="14" t="n">
        <x:v>4648</x:v>
      </x:c>
      <x:c r="J277" s="14" t="n">
        <x:v>173</x:v>
      </x:c>
      <x:c r="K277" s="14" t="n">
        <x:v>17</x:v>
      </x:c>
      <x:c r="L277" s="15" t="n">
        <x:v>28064.6</x:v>
      </x:c>
      <x:c r="M277" s="15" t="n">
        <x:v>13442.64</x:v>
      </x:c>
    </x:row>
    <x:row r="278">
      <x:c r="A278" s="13" t="n">
        <x:v>45658</x:v>
      </x:c>
      <x:c r="B278" s="14" t="str">
        <x:v>CMP024</x:v>
      </x:c>
      <x:c r="C278" s="14" t="str">
        <x:v>Display_LeadGen_04</x:v>
      </x:c>
      <x:c r="D278" s="14" t="str">
        <x:v>Display</x:v>
      </x:c>
      <x:c r="E278" s="14" t="str">
        <x:v>Lead Gen</x:v>
      </x:c>
      <x:c r="F278" s="14" t="str">
        <x:v>SMB</x:v>
      </x:c>
      <x:c r="G278" s="14" t="str">
        <x:v>East</x:v>
      </x:c>
      <x:c r="H278" s="14" t="n">
        <x:v>535581</x:v>
      </x:c>
      <x:c r="I278" s="14" t="n">
        <x:v>6059</x:v>
      </x:c>
      <x:c r="J278" s="14" t="n">
        <x:v>296</x:v>
      </x:c>
      <x:c r="K278" s="14" t="n">
        <x:v>35</x:v>
      </x:c>
      <x:c r="L278" s="15" t="n">
        <x:v>25668.76</x:v>
      </x:c>
      <x:c r="M278" s="15" t="n">
        <x:v>29861.17</x:v>
      </x:c>
    </x:row>
    <x:row r="279">
      <x:c r="A279" s="13" t="n">
        <x:v>45689</x:v>
      </x:c>
      <x:c r="B279" s="14" t="str">
        <x:v>CMP024</x:v>
      </x:c>
      <x:c r="C279" s="14" t="str">
        <x:v>Display_LeadGen_04</x:v>
      </x:c>
      <x:c r="D279" s="14" t="str">
        <x:v>Display</x:v>
      </x:c>
      <x:c r="E279" s="14" t="str">
        <x:v>Lead Gen</x:v>
      </x:c>
      <x:c r="F279" s="14" t="str">
        <x:v>SMB</x:v>
      </x:c>
      <x:c r="G279" s="14" t="str">
        <x:v>East</x:v>
      </x:c>
      <x:c r="H279" s="14" t="n">
        <x:v>482954</x:v>
      </x:c>
      <x:c r="I279" s="14" t="n">
        <x:v>4817</x:v>
      </x:c>
      <x:c r="J279" s="14" t="n">
        <x:v>207</x:v>
      </x:c>
      <x:c r="K279" s="14" t="n">
        <x:v>27</x:v>
      </x:c>
      <x:c r="L279" s="15" t="n">
        <x:v>26091.46</x:v>
      </x:c>
      <x:c r="M279" s="15" t="n">
        <x:v>22764.86</x:v>
      </x:c>
    </x:row>
    <x:row r="280">
      <x:c r="A280" s="13" t="n">
        <x:v>45717</x:v>
      </x:c>
      <x:c r="B280" s="14" t="str">
        <x:v>CMP024</x:v>
      </x:c>
      <x:c r="C280" s="14" t="str">
        <x:v>Display_LeadGen_04</x:v>
      </x:c>
      <x:c r="D280" s="14" t="str">
        <x:v>Display</x:v>
      </x:c>
      <x:c r="E280" s="14" t="str">
        <x:v>Lead Gen</x:v>
      </x:c>
      <x:c r="F280" s="14" t="str">
        <x:v>SMB</x:v>
      </x:c>
      <x:c r="G280" s="14" t="str">
        <x:v>East</x:v>
      </x:c>
      <x:c r="H280" s="14" t="n">
        <x:v>557992</x:v>
      </x:c>
      <x:c r="I280" s="14" t="n">
        <x:v>5964</x:v>
      </x:c>
      <x:c r="J280" s="14" t="n">
        <x:v>304</x:v>
      </x:c>
      <x:c r="K280" s="14" t="n">
        <x:v>36</x:v>
      </x:c>
      <x:c r="L280" s="15" t="n">
        <x:v>27225.38</x:v>
      </x:c>
      <x:c r="M280" s="15" t="n">
        <x:v>32458.35</x:v>
      </x:c>
    </x:row>
    <x:row r="281">
      <x:c r="A281" s="13" t="n">
        <x:v>45748</x:v>
      </x:c>
      <x:c r="B281" s="14" t="str">
        <x:v>CMP024</x:v>
      </x:c>
      <x:c r="C281" s="14" t="str">
        <x:v>Display_LeadGen_04</x:v>
      </x:c>
      <x:c r="D281" s="14" t="str">
        <x:v>Display</x:v>
      </x:c>
      <x:c r="E281" s="14" t="str">
        <x:v>Lead Gen</x:v>
      </x:c>
      <x:c r="F281" s="14" t="str">
        <x:v>SMB</x:v>
      </x:c>
      <x:c r="G281" s="14" t="str">
        <x:v>East</x:v>
      </x:c>
      <x:c r="H281" s="14" t="n">
        <x:v>538868</x:v>
      </x:c>
      <x:c r="I281" s="14" t="n">
        <x:v>6309</x:v>
      </x:c>
      <x:c r="J281" s="14" t="n">
        <x:v>262</x:v>
      </x:c>
      <x:c r="K281" s="14" t="n">
        <x:v>26</x:v>
      </x:c>
      <x:c r="L281" s="15" t="n">
        <x:v>25904.77</x:v>
      </x:c>
      <x:c r="M281" s="15" t="n">
        <x:v>24051.37</x:v>
      </x:c>
    </x:row>
    <x:row r="282">
      <x:c r="A282" s="13" t="n">
        <x:v>45778</x:v>
      </x:c>
      <x:c r="B282" s="14" t="str">
        <x:v>CMP024</x:v>
      </x:c>
      <x:c r="C282" s="14" t="str">
        <x:v>Display_LeadGen_04</x:v>
      </x:c>
      <x:c r="D282" s="14" t="str">
        <x:v>Display</x:v>
      </x:c>
      <x:c r="E282" s="14" t="str">
        <x:v>Lead Gen</x:v>
      </x:c>
      <x:c r="F282" s="14" t="str">
        <x:v>SMB</x:v>
      </x:c>
      <x:c r="G282" s="14" t="str">
        <x:v>East</x:v>
      </x:c>
      <x:c r="H282" s="14" t="n">
        <x:v>617149</x:v>
      </x:c>
      <x:c r="I282" s="14" t="n">
        <x:v>6662</x:v>
      </x:c>
      <x:c r="J282" s="14" t="n">
        <x:v>321</x:v>
      </x:c>
      <x:c r="K282" s="14" t="n">
        <x:v>35</x:v>
      </x:c>
      <x:c r="L282" s="15" t="n">
        <x:v>31719.19</x:v>
      </x:c>
      <x:c r="M282" s="15" t="n">
        <x:v>29629.83</x:v>
      </x:c>
    </x:row>
    <x:row r="283">
      <x:c r="A283" s="13" t="n">
        <x:v>45809</x:v>
      </x:c>
      <x:c r="B283" s="14" t="str">
        <x:v>CMP024</x:v>
      </x:c>
      <x:c r="C283" s="14" t="str">
        <x:v>Display_LeadGen_04</x:v>
      </x:c>
      <x:c r="D283" s="14" t="str">
        <x:v>Display</x:v>
      </x:c>
      <x:c r="E283" s="14" t="str">
        <x:v>Lead Gen</x:v>
      </x:c>
      <x:c r="F283" s="14" t="str">
        <x:v>SMB</x:v>
      </x:c>
      <x:c r="G283" s="14" t="str">
        <x:v>East</x:v>
      </x:c>
      <x:c r="H283" s="14" t="n">
        <x:v>546260</x:v>
      </x:c>
      <x:c r="I283" s="14" t="n">
        <x:v>5930</x:v>
      </x:c>
      <x:c r="J283" s="14" t="n">
        <x:v>247</x:v>
      </x:c>
      <x:c r="K283" s="14" t="n">
        <x:v>28</x:v>
      </x:c>
      <x:c r="L283" s="15" t="n">
        <x:v>29108.93</x:v>
      </x:c>
      <x:c r="M283" s="15" t="n">
        <x:v>24005.59</x:v>
      </x:c>
    </x:row>
    <x:row r="284">
      <x:c r="A284" s="13" t="n">
        <x:v>45839</x:v>
      </x:c>
      <x:c r="B284" s="14" t="str">
        <x:v>CMP024</x:v>
      </x:c>
      <x:c r="C284" s="14" t="str">
        <x:v>Display_LeadGen_04</x:v>
      </x:c>
      <x:c r="D284" s="14" t="str">
        <x:v>Display</x:v>
      </x:c>
      <x:c r="E284" s="14" t="str">
        <x:v>Lead Gen</x:v>
      </x:c>
      <x:c r="F284" s="14" t="str">
        <x:v>SMB</x:v>
      </x:c>
      <x:c r="G284" s="14" t="str">
        <x:v>East</x:v>
      </x:c>
      <x:c r="H284" s="14" t="n">
        <x:v>645307</x:v>
      </x:c>
      <x:c r="I284" s="14" t="n">
        <x:v>6125</x:v>
      </x:c>
      <x:c r="J284" s="14" t="n">
        <x:v>303</x:v>
      </x:c>
      <x:c r="K284" s="14" t="n">
        <x:v>28</x:v>
      </x:c>
      <x:c r="L284" s="15" t="n">
        <x:v>30351.55</x:v>
      </x:c>
      <x:c r="M284" s="15" t="n">
        <x:v>21620.24</x:v>
      </x:c>
    </x:row>
    <x:row r="285">
      <x:c r="A285" s="13" t="n">
        <x:v>45870</x:v>
      </x:c>
      <x:c r="B285" s="14" t="str">
        <x:v>CMP024</x:v>
      </x:c>
      <x:c r="C285" s="14" t="str">
        <x:v>Display_LeadGen_04</x:v>
      </x:c>
      <x:c r="D285" s="14" t="str">
        <x:v>Display</x:v>
      </x:c>
      <x:c r="E285" s="14" t="str">
        <x:v>Lead Gen</x:v>
      </x:c>
      <x:c r="F285" s="14" t="str">
        <x:v>SMB</x:v>
      </x:c>
      <x:c r="G285" s="14" t="str">
        <x:v>East</x:v>
      </x:c>
      <x:c r="H285" s="14" t="n">
        <x:v>683036</x:v>
      </x:c>
      <x:c r="I285" s="14" t="n">
        <x:v>7915</x:v>
      </x:c>
      <x:c r="J285" s="14" t="n">
        <x:v>377</x:v>
      </x:c>
      <x:c r="K285" s="14" t="n">
        <x:v>45</x:v>
      </x:c>
      <x:c r="L285" s="15" t="n">
        <x:v>29630.35</x:v>
      </x:c>
      <x:c r="M285" s="15" t="n">
        <x:v>36062</x:v>
      </x:c>
    </x:row>
    <x:row r="286">
      <x:c r="A286" s="13" t="n">
        <x:v>45901</x:v>
      </x:c>
      <x:c r="B286" s="14" t="str">
        <x:v>CMP024</x:v>
      </x:c>
      <x:c r="C286" s="14" t="str">
        <x:v>Display_LeadGen_04</x:v>
      </x:c>
      <x:c r="D286" s="14" t="str">
        <x:v>Display</x:v>
      </x:c>
      <x:c r="E286" s="14" t="str">
        <x:v>Lead Gen</x:v>
      </x:c>
      <x:c r="F286" s="14" t="str">
        <x:v>SMB</x:v>
      </x:c>
      <x:c r="G286" s="14" t="str">
        <x:v>East</x:v>
      </x:c>
      <x:c r="H286" s="14" t="n">
        <x:v>672292</x:v>
      </x:c>
      <x:c r="I286" s="14" t="n">
        <x:v>6909</x:v>
      </x:c>
      <x:c r="J286" s="14" t="n">
        <x:v>286</x:v>
      </x:c>
      <x:c r="K286" s="14" t="n">
        <x:v>26</x:v>
      </x:c>
      <x:c r="L286" s="15" t="n">
        <x:v>30660</x:v>
      </x:c>
      <x:c r="M286" s="15" t="n">
        <x:v>23164.74</x:v>
      </x:c>
    </x:row>
    <x:row r="287">
      <x:c r="A287" s="13" t="n">
        <x:v>45931</x:v>
      </x:c>
      <x:c r="B287" s="14" t="str">
        <x:v>CMP024</x:v>
      </x:c>
      <x:c r="C287" s="14" t="str">
        <x:v>Display_LeadGen_04</x:v>
      </x:c>
      <x:c r="D287" s="14" t="str">
        <x:v>Display</x:v>
      </x:c>
      <x:c r="E287" s="14" t="str">
        <x:v>Lead Gen</x:v>
      </x:c>
      <x:c r="F287" s="14" t="str">
        <x:v>SMB</x:v>
      </x:c>
      <x:c r="G287" s="14" t="str">
        <x:v>East</x:v>
      </x:c>
      <x:c r="H287" s="14" t="n">
        <x:v>613678</x:v>
      </x:c>
      <x:c r="I287" s="14" t="n">
        <x:v>7069</x:v>
      </x:c>
      <x:c r="J287" s="14" t="n">
        <x:v>287</x:v>
      </x:c>
      <x:c r="K287" s="14" t="n">
        <x:v>28</x:v>
      </x:c>
      <x:c r="L287" s="15" t="n">
        <x:v>26420.68</x:v>
      </x:c>
      <x:c r="M287" s="15" t="n">
        <x:v>21896.94</x:v>
      </x:c>
    </x:row>
    <x:row r="288">
      <x:c r="A288" s="13" t="n">
        <x:v>45962</x:v>
      </x:c>
      <x:c r="B288" s="14" t="str">
        <x:v>CMP024</x:v>
      </x:c>
      <x:c r="C288" s="14" t="str">
        <x:v>Display_LeadGen_04</x:v>
      </x:c>
      <x:c r="D288" s="14" t="str">
        <x:v>Display</x:v>
      </x:c>
      <x:c r="E288" s="14" t="str">
        <x:v>Lead Gen</x:v>
      </x:c>
      <x:c r="F288" s="14" t="str">
        <x:v>SMB</x:v>
      </x:c>
      <x:c r="G288" s="14" t="str">
        <x:v>East</x:v>
      </x:c>
      <x:c r="H288" s="14" t="n">
        <x:v>611195</x:v>
      </x:c>
      <x:c r="I288" s="14" t="n">
        <x:v>6545</x:v>
      </x:c>
      <x:c r="J288" s="14" t="n">
        <x:v>256</x:v>
      </x:c>
      <x:c r="K288" s="14" t="n">
        <x:v>33</x:v>
      </x:c>
      <x:c r="L288" s="15" t="n">
        <x:v>29298.33</x:v>
      </x:c>
      <x:c r="M288" s="15" t="n">
        <x:v>30731.08</x:v>
      </x:c>
    </x:row>
    <x:row r="289">
      <x:c r="A289" s="13" t="n">
        <x:v>45992</x:v>
      </x:c>
      <x:c r="B289" s="14" t="str">
        <x:v>CMP024</x:v>
      </x:c>
      <x:c r="C289" s="14" t="str">
        <x:v>Display_LeadGen_04</x:v>
      </x:c>
      <x:c r="D289" s="14" t="str">
        <x:v>Display</x:v>
      </x:c>
      <x:c r="E289" s="14" t="str">
        <x:v>Lead Gen</x:v>
      </x:c>
      <x:c r="F289" s="14" t="str">
        <x:v>SMB</x:v>
      </x:c>
      <x:c r="G289" s="14" t="str">
        <x:v>East</x:v>
      </x:c>
      <x:c r="H289" s="14" t="n">
        <x:v>575479</x:v>
      </x:c>
      <x:c r="I289" s="14" t="n">
        <x:v>6578</x:v>
      </x:c>
      <x:c r="J289" s="14" t="n">
        <x:v>294</x:v>
      </x:c>
      <x:c r="K289" s="14" t="n">
        <x:v>34</x:v>
      </x:c>
      <x:c r="L289" s="15" t="n">
        <x:v>28789.2</x:v>
      </x:c>
      <x:c r="M289" s="15" t="n">
        <x:v>30379.17</x:v>
      </x:c>
    </x:row>
    <x:row r="290">
      <x:c r="A290" s="13" t="n">
        <x:v>45658</x:v>
      </x:c>
      <x:c r="B290" s="14" t="str">
        <x:v>CMP025</x:v>
      </x:c>
      <x:c r="C290" s="14" t="str">
        <x:v>Display_Retargeting_05</x:v>
      </x:c>
      <x:c r="D290" s="14" t="str">
        <x:v>Display</x:v>
      </x:c>
      <x:c r="E290" s="14" t="str">
        <x:v>Retargeting</x:v>
      </x:c>
      <x:c r="F290" s="14" t="str">
        <x:v>Mid-Market</x:v>
      </x:c>
      <x:c r="G290" s="14" t="str">
        <x:v>West</x:v>
      </x:c>
      <x:c r="H290" s="14" t="n">
        <x:v>761918</x:v>
      </x:c>
      <x:c r="I290" s="14" t="n">
        <x:v>7963</x:v>
      </x:c>
      <x:c r="J290" s="14" t="n">
        <x:v>367</x:v>
      </x:c>
      <x:c r="K290" s="14" t="n">
        <x:v>44</x:v>
      </x:c>
      <x:c r="L290" s="15" t="n">
        <x:v>30474.63</x:v>
      </x:c>
      <x:c r="M290" s="15" t="n">
        <x:v>45546.24</x:v>
      </x:c>
    </x:row>
    <x:row r="291">
      <x:c r="A291" s="13" t="n">
        <x:v>45689</x:v>
      </x:c>
      <x:c r="B291" s="14" t="str">
        <x:v>CMP025</x:v>
      </x:c>
      <x:c r="C291" s="14" t="str">
        <x:v>Display_Retargeting_05</x:v>
      </x:c>
      <x:c r="D291" s="14" t="str">
        <x:v>Display</x:v>
      </x:c>
      <x:c r="E291" s="14" t="str">
        <x:v>Retargeting</x:v>
      </x:c>
      <x:c r="F291" s="14" t="str">
        <x:v>Mid-Market</x:v>
      </x:c>
      <x:c r="G291" s="14" t="str">
        <x:v>West</x:v>
      </x:c>
      <x:c r="H291" s="14" t="n">
        <x:v>770384</x:v>
      </x:c>
      <x:c r="I291" s="14" t="n">
        <x:v>8922</x:v>
      </x:c>
      <x:c r="J291" s="14" t="n">
        <x:v>358</x:v>
      </x:c>
      <x:c r="K291" s="14" t="n">
        <x:v>46</x:v>
      </x:c>
      <x:c r="L291" s="15" t="n">
        <x:v>31515.51</x:v>
      </x:c>
      <x:c r="M291" s="15" t="n">
        <x:v>48146.43</x:v>
      </x:c>
    </x:row>
    <x:row r="292">
      <x:c r="A292" s="13" t="n">
        <x:v>45717</x:v>
      </x:c>
      <x:c r="B292" s="14" t="str">
        <x:v>CMP025</x:v>
      </x:c>
      <x:c r="C292" s="14" t="str">
        <x:v>Display_Retargeting_05</x:v>
      </x:c>
      <x:c r="D292" s="14" t="str">
        <x:v>Display</x:v>
      </x:c>
      <x:c r="E292" s="14" t="str">
        <x:v>Retargeting</x:v>
      </x:c>
      <x:c r="F292" s="14" t="str">
        <x:v>Mid-Market</x:v>
      </x:c>
      <x:c r="G292" s="14" t="str">
        <x:v>West</x:v>
      </x:c>
      <x:c r="H292" s="14" t="n">
        <x:v>639309</x:v>
      </x:c>
      <x:c r="I292" s="14" t="n">
        <x:v>7531</x:v>
      </x:c>
      <x:c r="J292" s="14" t="n">
        <x:v>400</x:v>
      </x:c>
      <x:c r="K292" s="14" t="n">
        <x:v>52</x:v>
      </x:c>
      <x:c r="L292" s="15" t="n">
        <x:v>28334.04</x:v>
      </x:c>
      <x:c r="M292" s="15" t="n">
        <x:v>53234.06</x:v>
      </x:c>
    </x:row>
    <x:row r="293">
      <x:c r="A293" s="13" t="n">
        <x:v>45748</x:v>
      </x:c>
      <x:c r="B293" s="14" t="str">
        <x:v>CMP025</x:v>
      </x:c>
      <x:c r="C293" s="14" t="str">
        <x:v>Display_Retargeting_05</x:v>
      </x:c>
      <x:c r="D293" s="14" t="str">
        <x:v>Display</x:v>
      </x:c>
      <x:c r="E293" s="14" t="str">
        <x:v>Retargeting</x:v>
      </x:c>
      <x:c r="F293" s="14" t="str">
        <x:v>Mid-Market</x:v>
      </x:c>
      <x:c r="G293" s="14" t="str">
        <x:v>West</x:v>
      </x:c>
      <x:c r="H293" s="14" t="n">
        <x:v>569643</x:v>
      </x:c>
      <x:c r="I293" s="14" t="n">
        <x:v>4979</x:v>
      </x:c>
      <x:c r="J293" s="14" t="n">
        <x:v>266</x:v>
      </x:c>
      <x:c r="K293" s="14" t="n">
        <x:v>27</x:v>
      </x:c>
      <x:c r="L293" s="15" t="n">
        <x:v>25686.68</x:v>
      </x:c>
      <x:c r="M293" s="15" t="n">
        <x:v>28218.36</x:v>
      </x:c>
    </x:row>
    <x:row r="294">
      <x:c r="A294" s="13" t="n">
        <x:v>45778</x:v>
      </x:c>
      <x:c r="B294" s="14" t="str">
        <x:v>CMP025</x:v>
      </x:c>
      <x:c r="C294" s="14" t="str">
        <x:v>Display_Retargeting_05</x:v>
      </x:c>
      <x:c r="D294" s="14" t="str">
        <x:v>Display</x:v>
      </x:c>
      <x:c r="E294" s="14" t="str">
        <x:v>Retargeting</x:v>
      </x:c>
      <x:c r="F294" s="14" t="str">
        <x:v>Mid-Market</x:v>
      </x:c>
      <x:c r="G294" s="14" t="str">
        <x:v>West</x:v>
      </x:c>
      <x:c r="H294" s="14" t="n">
        <x:v>683908</x:v>
      </x:c>
      <x:c r="I294" s="14" t="n">
        <x:v>8062</x:v>
      </x:c>
      <x:c r="J294" s="14" t="n">
        <x:v>413</x:v>
      </x:c>
      <x:c r="K294" s="14" t="n">
        <x:v>45</x:v>
      </x:c>
      <x:c r="L294" s="15" t="n">
        <x:v>30299.91</x:v>
      </x:c>
      <x:c r="M294" s="15" t="n">
        <x:v>40208.01</x:v>
      </x:c>
    </x:row>
    <x:row r="295">
      <x:c r="A295" s="13" t="n">
        <x:v>45809</x:v>
      </x:c>
      <x:c r="B295" s="14" t="str">
        <x:v>CMP025</x:v>
      </x:c>
      <x:c r="C295" s="14" t="str">
        <x:v>Display_Retargeting_05</x:v>
      </x:c>
      <x:c r="D295" s="14" t="str">
        <x:v>Display</x:v>
      </x:c>
      <x:c r="E295" s="14" t="str">
        <x:v>Retargeting</x:v>
      </x:c>
      <x:c r="F295" s="14" t="str">
        <x:v>Mid-Market</x:v>
      </x:c>
      <x:c r="G295" s="14" t="str">
        <x:v>West</x:v>
      </x:c>
      <x:c r="H295" s="14" t="n">
        <x:v>667274</x:v>
      </x:c>
      <x:c r="I295" s="14" t="n">
        <x:v>6692</x:v>
      </x:c>
      <x:c r="J295" s="14" t="n">
        <x:v>278</x:v>
      </x:c>
      <x:c r="K295" s="14" t="n">
        <x:v>27</x:v>
      </x:c>
      <x:c r="L295" s="15" t="n">
        <x:v>27208.09</x:v>
      </x:c>
      <x:c r="M295" s="15" t="n">
        <x:v>26920.41</x:v>
      </x:c>
    </x:row>
    <x:row r="296">
      <x:c r="A296" s="13" t="n">
        <x:v>45839</x:v>
      </x:c>
      <x:c r="B296" s="14" t="str">
        <x:v>CMP025</x:v>
      </x:c>
      <x:c r="C296" s="14" t="str">
        <x:v>Display_Retargeting_05</x:v>
      </x:c>
      <x:c r="D296" s="14" t="str">
        <x:v>Display</x:v>
      </x:c>
      <x:c r="E296" s="14" t="str">
        <x:v>Retargeting</x:v>
      </x:c>
      <x:c r="F296" s="14" t="str">
        <x:v>Mid-Market</x:v>
      </x:c>
      <x:c r="G296" s="14" t="str">
        <x:v>West</x:v>
      </x:c>
      <x:c r="H296" s="14" t="n">
        <x:v>710258</x:v>
      </x:c>
      <x:c r="I296" s="14" t="n">
        <x:v>7900</x:v>
      </x:c>
      <x:c r="J296" s="14" t="n">
        <x:v>317</x:v>
      </x:c>
      <x:c r="K296" s="14" t="n">
        <x:v>40</x:v>
      </x:c>
      <x:c r="L296" s="15" t="n">
        <x:v>32026.03</x:v>
      </x:c>
      <x:c r="M296" s="15" t="n">
        <x:v>41103.88</x:v>
      </x:c>
    </x:row>
    <x:row r="297">
      <x:c r="A297" s="13" t="n">
        <x:v>45870</x:v>
      </x:c>
      <x:c r="B297" s="14" t="str">
        <x:v>CMP025</x:v>
      </x:c>
      <x:c r="C297" s="14" t="str">
        <x:v>Display_Retargeting_05</x:v>
      </x:c>
      <x:c r="D297" s="14" t="str">
        <x:v>Display</x:v>
      </x:c>
      <x:c r="E297" s="14" t="str">
        <x:v>Retargeting</x:v>
      </x:c>
      <x:c r="F297" s="14" t="str">
        <x:v>Mid-Market</x:v>
      </x:c>
      <x:c r="G297" s="14" t="str">
        <x:v>West</x:v>
      </x:c>
      <x:c r="H297" s="14" t="n">
        <x:v>697729</x:v>
      </x:c>
      <x:c r="I297" s="14" t="n">
        <x:v>6046</x:v>
      </x:c>
      <x:c r="J297" s="14" t="n">
        <x:v>292</x:v>
      </x:c>
      <x:c r="K297" s="14" t="n">
        <x:v>28</x:v>
      </x:c>
      <x:c r="L297" s="15" t="n">
        <x:v>31071.02</x:v>
      </x:c>
      <x:c r="M297" s="15" t="n">
        <x:v>24740.03</x:v>
      </x:c>
    </x:row>
    <x:row r="298">
      <x:c r="A298" s="13" t="n">
        <x:v>45901</x:v>
      </x:c>
      <x:c r="B298" s="14" t="str">
        <x:v>CMP025</x:v>
      </x:c>
      <x:c r="C298" s="14" t="str">
        <x:v>Display_Retargeting_05</x:v>
      </x:c>
      <x:c r="D298" s="14" t="str">
        <x:v>Display</x:v>
      </x:c>
      <x:c r="E298" s="14" t="str">
        <x:v>Retargeting</x:v>
      </x:c>
      <x:c r="F298" s="14" t="str">
        <x:v>Mid-Market</x:v>
      </x:c>
      <x:c r="G298" s="14" t="str">
        <x:v>West</x:v>
      </x:c>
      <x:c r="H298" s="14" t="n">
        <x:v>683090</x:v>
      </x:c>
      <x:c r="I298" s="14" t="n">
        <x:v>6355</x:v>
      </x:c>
      <x:c r="J298" s="14" t="n">
        <x:v>261</x:v>
      </x:c>
      <x:c r="K298" s="14" t="n">
        <x:v>32</x:v>
      </x:c>
      <x:c r="L298" s="15" t="n">
        <x:v>28475.29</x:v>
      </x:c>
      <x:c r="M298" s="15" t="n">
        <x:v>33230.34</x:v>
      </x:c>
    </x:row>
    <x:row r="299">
      <x:c r="A299" s="13" t="n">
        <x:v>45931</x:v>
      </x:c>
      <x:c r="B299" s="14" t="str">
        <x:v>CMP025</x:v>
      </x:c>
      <x:c r="C299" s="14" t="str">
        <x:v>Display_Retargeting_05</x:v>
      </x:c>
      <x:c r="D299" s="14" t="str">
        <x:v>Display</x:v>
      </x:c>
      <x:c r="E299" s="14" t="str">
        <x:v>Retargeting</x:v>
      </x:c>
      <x:c r="F299" s="14" t="str">
        <x:v>Mid-Market</x:v>
      </x:c>
      <x:c r="G299" s="14" t="str">
        <x:v>West</x:v>
      </x:c>
      <x:c r="H299" s="14" t="n">
        <x:v>628207</x:v>
      </x:c>
      <x:c r="I299" s="14" t="n">
        <x:v>5270</x:v>
      </x:c>
      <x:c r="J299" s="14" t="n">
        <x:v>253</x:v>
      </x:c>
      <x:c r="K299" s="14" t="n">
        <x:v>30</x:v>
      </x:c>
      <x:c r="L299" s="15" t="n">
        <x:v>29363.86</x:v>
      </x:c>
      <x:c r="M299" s="15" t="n">
        <x:v>26058.85</x:v>
      </x:c>
    </x:row>
    <x:row r="300">
      <x:c r="A300" s="13" t="n">
        <x:v>45962</x:v>
      </x:c>
      <x:c r="B300" s="14" t="str">
        <x:v>CMP025</x:v>
      </x:c>
      <x:c r="C300" s="14" t="str">
        <x:v>Display_Retargeting_05</x:v>
      </x:c>
      <x:c r="D300" s="14" t="str">
        <x:v>Display</x:v>
      </x:c>
      <x:c r="E300" s="14" t="str">
        <x:v>Retargeting</x:v>
      </x:c>
      <x:c r="F300" s="14" t="str">
        <x:v>Mid-Market</x:v>
      </x:c>
      <x:c r="G300" s="14" t="str">
        <x:v>West</x:v>
      </x:c>
      <x:c r="H300" s="14" t="n">
        <x:v>699059</x:v>
      </x:c>
      <x:c r="I300" s="14" t="n">
        <x:v>6874</x:v>
      </x:c>
      <x:c r="J300" s="14" t="n">
        <x:v>313</x:v>
      </x:c>
      <x:c r="K300" s="14" t="n">
        <x:v>40</x:v>
      </x:c>
      <x:c r="L300" s="15" t="n">
        <x:v>29578.35</x:v>
      </x:c>
      <x:c r="M300" s="15" t="n">
        <x:v>39630.29</x:v>
      </x:c>
    </x:row>
    <x:row r="301">
      <x:c r="A301" s="13" t="n">
        <x:v>45992</x:v>
      </x:c>
      <x:c r="B301" s="14" t="str">
        <x:v>CMP025</x:v>
      </x:c>
      <x:c r="C301" s="14" t="str">
        <x:v>Display_Retargeting_05</x:v>
      </x:c>
      <x:c r="D301" s="14" t="str">
        <x:v>Display</x:v>
      </x:c>
      <x:c r="E301" s="14" t="str">
        <x:v>Retargeting</x:v>
      </x:c>
      <x:c r="F301" s="14" t="str">
        <x:v>Mid-Market</x:v>
      </x:c>
      <x:c r="G301" s="14" t="str">
        <x:v>West</x:v>
      </x:c>
      <x:c r="H301" s="14" t="n">
        <x:v>819782</x:v>
      </x:c>
      <x:c r="I301" s="14" t="n">
        <x:v>9596</x:v>
      </x:c>
      <x:c r="J301" s="14" t="n">
        <x:v>404</x:v>
      </x:c>
      <x:c r="K301" s="14" t="n">
        <x:v>47</x:v>
      </x:c>
      <x:c r="L301" s="15" t="n">
        <x:v>33033.06</x:v>
      </x:c>
      <x:c r="M301" s="15" t="n">
        <x:v>42230.54</x:v>
      </x:c>
    </x:row>
    <x:row r="302">
      <x:c r="A302" s="13" t="n">
        <x:v>45658</x:v>
      </x:c>
      <x:c r="B302" s="14" t="str">
        <x:v>CMP026</x:v>
      </x:c>
      <x:c r="C302" s="14" t="str">
        <x:v>Video_Acquisition_01</x:v>
      </x:c>
      <x:c r="D302" s="14" t="str">
        <x:v>Video</x:v>
      </x:c>
      <x:c r="E302" s="14" t="str">
        <x:v>Acquisition</x:v>
      </x:c>
      <x:c r="F302" s="14" t="str">
        <x:v>Consumer</x:v>
      </x:c>
      <x:c r="G302" s="14" t="str">
        <x:v>South</x:v>
      </x:c>
      <x:c r="H302" s="14" t="n">
        <x:v>463251</x:v>
      </x:c>
      <x:c r="I302" s="14" t="n">
        <x:v>4476</x:v>
      </x:c>
      <x:c r="J302" s="14" t="n">
        <x:v>216</x:v>
      </x:c>
      <x:c r="K302" s="14" t="n">
        <x:v>23</x:v>
      </x:c>
      <x:c r="L302" s="15" t="n">
        <x:v>26774.37</x:v>
      </x:c>
      <x:c r="M302" s="15" t="n">
        <x:v>23169.72</x:v>
      </x:c>
    </x:row>
    <x:row r="303">
      <x:c r="A303" s="13" t="n">
        <x:v>45689</x:v>
      </x:c>
      <x:c r="B303" s="14" t="str">
        <x:v>CMP026</x:v>
      </x:c>
      <x:c r="C303" s="14" t="str">
        <x:v>Video_Acquisition_01</x:v>
      </x:c>
      <x:c r="D303" s="14" t="str">
        <x:v>Video</x:v>
      </x:c>
      <x:c r="E303" s="14" t="str">
        <x:v>Acquisition</x:v>
      </x:c>
      <x:c r="F303" s="14" t="str">
        <x:v>Consumer</x:v>
      </x:c>
      <x:c r="G303" s="14" t="str">
        <x:v>South</x:v>
      </x:c>
      <x:c r="H303" s="14" t="n">
        <x:v>416708</x:v>
      </x:c>
      <x:c r="I303" s="14" t="n">
        <x:v>3997</x:v>
      </x:c>
      <x:c r="J303" s="14" t="n">
        <x:v>173</x:v>
      </x:c>
      <x:c r="K303" s="14" t="n">
        <x:v>19</x:v>
      </x:c>
      <x:c r="L303" s="15" t="n">
        <x:v>26398.63</x:v>
      </x:c>
      <x:c r="M303" s="15" t="n">
        <x:v>18142.08</x:v>
      </x:c>
    </x:row>
    <x:row r="304">
      <x:c r="A304" s="13" t="n">
        <x:v>45717</x:v>
      </x:c>
      <x:c r="B304" s="14" t="str">
        <x:v>CMP026</x:v>
      </x:c>
      <x:c r="C304" s="14" t="str">
        <x:v>Video_Acquisition_01</x:v>
      </x:c>
      <x:c r="D304" s="14" t="str">
        <x:v>Video</x:v>
      </x:c>
      <x:c r="E304" s="14" t="str">
        <x:v>Acquisition</x:v>
      </x:c>
      <x:c r="F304" s="14" t="str">
        <x:v>Consumer</x:v>
      </x:c>
      <x:c r="G304" s="14" t="str">
        <x:v>South</x:v>
      </x:c>
      <x:c r="H304" s="14" t="n">
        <x:v>440638</x:v>
      </x:c>
      <x:c r="I304" s="14" t="n">
        <x:v>4565</x:v>
      </x:c>
      <x:c r="J304" s="14" t="n">
        <x:v>165</x:v>
      </x:c>
      <x:c r="K304" s="14" t="n">
        <x:v>18</x:v>
      </x:c>
      <x:c r="L304" s="15" t="n">
        <x:v>25392.79</x:v>
      </x:c>
      <x:c r="M304" s="15" t="n">
        <x:v>18477.88</x:v>
      </x:c>
    </x:row>
    <x:row r="305">
      <x:c r="A305" s="13" t="n">
        <x:v>45748</x:v>
      </x:c>
      <x:c r="B305" s="14" t="str">
        <x:v>CMP026</x:v>
      </x:c>
      <x:c r="C305" s="14" t="str">
        <x:v>Video_Acquisition_01</x:v>
      </x:c>
      <x:c r="D305" s="14" t="str">
        <x:v>Video</x:v>
      </x:c>
      <x:c r="E305" s="14" t="str">
        <x:v>Acquisition</x:v>
      </x:c>
      <x:c r="F305" s="14" t="str">
        <x:v>Consumer</x:v>
      </x:c>
      <x:c r="G305" s="14" t="str">
        <x:v>South</x:v>
      </x:c>
      <x:c r="H305" s="14" t="n">
        <x:v>393788</x:v>
      </x:c>
      <x:c r="I305" s="14" t="n">
        <x:v>3119</x:v>
      </x:c>
      <x:c r="J305" s="14" t="n">
        <x:v>147</x:v>
      </x:c>
      <x:c r="K305" s="14" t="n">
        <x:v>14</x:v>
      </x:c>
      <x:c r="L305" s="15" t="n">
        <x:v>23678.05</x:v>
      </x:c>
      <x:c r="M305" s="15" t="n">
        <x:v>13779.59</x:v>
      </x:c>
    </x:row>
    <x:row r="306">
      <x:c r="A306" s="13" t="n">
        <x:v>45778</x:v>
      </x:c>
      <x:c r="B306" s="14" t="str">
        <x:v>CMP026</x:v>
      </x:c>
      <x:c r="C306" s="14" t="str">
        <x:v>Video_Acquisition_01</x:v>
      </x:c>
      <x:c r="D306" s="14" t="str">
        <x:v>Video</x:v>
      </x:c>
      <x:c r="E306" s="14" t="str">
        <x:v>Acquisition</x:v>
      </x:c>
      <x:c r="F306" s="14" t="str">
        <x:v>Consumer</x:v>
      </x:c>
      <x:c r="G306" s="14" t="str">
        <x:v>South</x:v>
      </x:c>
      <x:c r="H306" s="14" t="n">
        <x:v>461791</x:v>
      </x:c>
      <x:c r="I306" s="14" t="n">
        <x:v>4757</x:v>
      </x:c>
      <x:c r="J306" s="14" t="n">
        <x:v>196</x:v>
      </x:c>
      <x:c r="K306" s="14" t="n">
        <x:v>16</x:v>
      </x:c>
      <x:c r="L306" s="15" t="n">
        <x:v>27451.03</x:v>
      </x:c>
      <x:c r="M306" s="15" t="n">
        <x:v>14081.11</x:v>
      </x:c>
    </x:row>
    <x:row r="307">
      <x:c r="A307" s="13" t="n">
        <x:v>45809</x:v>
      </x:c>
      <x:c r="B307" s="14" t="str">
        <x:v>CMP026</x:v>
      </x:c>
      <x:c r="C307" s="14" t="str">
        <x:v>Video_Acquisition_01</x:v>
      </x:c>
      <x:c r="D307" s="14" t="str">
        <x:v>Video</x:v>
      </x:c>
      <x:c r="E307" s="14" t="str">
        <x:v>Acquisition</x:v>
      </x:c>
      <x:c r="F307" s="14" t="str">
        <x:v>Consumer</x:v>
      </x:c>
      <x:c r="G307" s="14" t="str">
        <x:v>South</x:v>
      </x:c>
      <x:c r="H307" s="14" t="n">
        <x:v>428857</x:v>
      </x:c>
      <x:c r="I307" s="14" t="n">
        <x:v>3945</x:v>
      </x:c>
      <x:c r="J307" s="14" t="n">
        <x:v>176</x:v>
      </x:c>
      <x:c r="K307" s="14" t="n">
        <x:v>16</x:v>
      </x:c>
      <x:c r="L307" s="15" t="n">
        <x:v>25953.91</x:v>
      </x:c>
      <x:c r="M307" s="15" t="n">
        <x:v>13746.18</x:v>
      </x:c>
    </x:row>
    <x:row r="308">
      <x:c r="A308" s="13" t="n">
        <x:v>45839</x:v>
      </x:c>
      <x:c r="B308" s="14" t="str">
        <x:v>CMP026</x:v>
      </x:c>
      <x:c r="C308" s="14" t="str">
        <x:v>Video_Acquisition_01</x:v>
      </x:c>
      <x:c r="D308" s="14" t="str">
        <x:v>Video</x:v>
      </x:c>
      <x:c r="E308" s="14" t="str">
        <x:v>Acquisition</x:v>
      </x:c>
      <x:c r="F308" s="14" t="str">
        <x:v>Consumer</x:v>
      </x:c>
      <x:c r="G308" s="14" t="str">
        <x:v>South</x:v>
      </x:c>
      <x:c r="H308" s="14" t="n">
        <x:v>441728</x:v>
      </x:c>
      <x:c r="I308" s="14" t="n">
        <x:v>3575</x:v>
      </x:c>
      <x:c r="J308" s="14" t="n">
        <x:v>127</x:v>
      </x:c>
      <x:c r="K308" s="14" t="n">
        <x:v>12</x:v>
      </x:c>
      <x:c r="L308" s="15" t="n">
        <x:v>23188.54</x:v>
      </x:c>
      <x:c r="M308" s="15" t="n">
        <x:v>11856.88</x:v>
      </x:c>
    </x:row>
    <x:row r="309">
      <x:c r="A309" s="13" t="n">
        <x:v>45870</x:v>
      </x:c>
      <x:c r="B309" s="14" t="str">
        <x:v>CMP026</x:v>
      </x:c>
      <x:c r="C309" s="14" t="str">
        <x:v>Video_Acquisition_01</x:v>
      </x:c>
      <x:c r="D309" s="14" t="str">
        <x:v>Video</x:v>
      </x:c>
      <x:c r="E309" s="14" t="str">
        <x:v>Acquisition</x:v>
      </x:c>
      <x:c r="F309" s="14" t="str">
        <x:v>Consumer</x:v>
      </x:c>
      <x:c r="G309" s="14" t="str">
        <x:v>South</x:v>
      </x:c>
      <x:c r="H309" s="14" t="n">
        <x:v>459120</x:v>
      </x:c>
      <x:c r="I309" s="14" t="n">
        <x:v>4723</x:v>
      </x:c>
      <x:c r="J309" s="14" t="n">
        <x:v>233</x:v>
      </x:c>
      <x:c r="K309" s="14" t="n">
        <x:v>23</x:v>
      </x:c>
      <x:c r="L309" s="15" t="n">
        <x:v>24477.51</x:v>
      </x:c>
      <x:c r="M309" s="15" t="n">
        <x:v>20919.59</x:v>
      </x:c>
    </x:row>
    <x:row r="310">
      <x:c r="A310" s="13" t="n">
        <x:v>45901</x:v>
      </x:c>
      <x:c r="B310" s="14" t="str">
        <x:v>CMP026</x:v>
      </x:c>
      <x:c r="C310" s="14" t="str">
        <x:v>Video_Acquisition_01</x:v>
      </x:c>
      <x:c r="D310" s="14" t="str">
        <x:v>Video</x:v>
      </x:c>
      <x:c r="E310" s="14" t="str">
        <x:v>Acquisition</x:v>
      </x:c>
      <x:c r="F310" s="14" t="str">
        <x:v>Consumer</x:v>
      </x:c>
      <x:c r="G310" s="14" t="str">
        <x:v>South</x:v>
      </x:c>
      <x:c r="H310" s="14" t="n">
        <x:v>427776</x:v>
      </x:c>
      <x:c r="I310" s="14" t="n">
        <x:v>4050</x:v>
      </x:c>
      <x:c r="J310" s="14" t="n">
        <x:v>184</x:v>
      </x:c>
      <x:c r="K310" s="14" t="n">
        <x:v>21</x:v>
      </x:c>
      <x:c r="L310" s="15" t="n">
        <x:v>23266.44</x:v>
      </x:c>
      <x:c r="M310" s="15" t="n">
        <x:v>19449.1</x:v>
      </x:c>
    </x:row>
    <x:row r="311">
      <x:c r="A311" s="13" t="n">
        <x:v>45931</x:v>
      </x:c>
      <x:c r="B311" s="14" t="str">
        <x:v>CMP026</x:v>
      </x:c>
      <x:c r="C311" s="14" t="str">
        <x:v>Video_Acquisition_01</x:v>
      </x:c>
      <x:c r="D311" s="14" t="str">
        <x:v>Video</x:v>
      </x:c>
      <x:c r="E311" s="14" t="str">
        <x:v>Acquisition</x:v>
      </x:c>
      <x:c r="F311" s="14" t="str">
        <x:v>Consumer</x:v>
      </x:c>
      <x:c r="G311" s="14" t="str">
        <x:v>South</x:v>
      </x:c>
      <x:c r="H311" s="14" t="n">
        <x:v>514701</x:v>
      </x:c>
      <x:c r="I311" s="14" t="n">
        <x:v>5333</x:v>
      </x:c>
      <x:c r="J311" s="14" t="n">
        <x:v>214</x:v>
      </x:c>
      <x:c r="K311" s="14" t="n">
        <x:v>17</x:v>
      </x:c>
      <x:c r="L311" s="15" t="n">
        <x:v>30299.58</x:v>
      </x:c>
      <x:c r="M311" s="15" t="n">
        <x:v>17649.19</x:v>
      </x:c>
    </x:row>
    <x:row r="312">
      <x:c r="A312" s="13" t="n">
        <x:v>45962</x:v>
      </x:c>
      <x:c r="B312" s="14" t="str">
        <x:v>CMP026</x:v>
      </x:c>
      <x:c r="C312" s="14" t="str">
        <x:v>Video_Acquisition_01</x:v>
      </x:c>
      <x:c r="D312" s="14" t="str">
        <x:v>Video</x:v>
      </x:c>
      <x:c r="E312" s="14" t="str">
        <x:v>Acquisition</x:v>
      </x:c>
      <x:c r="F312" s="14" t="str">
        <x:v>Consumer</x:v>
      </x:c>
      <x:c r="G312" s="14" t="str">
        <x:v>South</x:v>
      </x:c>
      <x:c r="H312" s="14" t="n">
        <x:v>596264</x:v>
      </x:c>
      <x:c r="I312" s="14" t="n">
        <x:v>6068</x:v>
      </x:c>
      <x:c r="J312" s="14" t="n">
        <x:v>220</x:v>
      </x:c>
      <x:c r="K312" s="14" t="n">
        <x:v>26</x:v>
      </x:c>
      <x:c r="L312" s="15" t="n">
        <x:v>32409.56</x:v>
      </x:c>
      <x:c r="M312" s="15" t="n">
        <x:v>24171.71</x:v>
      </x:c>
    </x:row>
    <x:row r="313">
      <x:c r="A313" s="13" t="n">
        <x:v>45992</x:v>
      </x:c>
      <x:c r="B313" s="14" t="str">
        <x:v>CMP026</x:v>
      </x:c>
      <x:c r="C313" s="14" t="str">
        <x:v>Video_Acquisition_01</x:v>
      </x:c>
      <x:c r="D313" s="14" t="str">
        <x:v>Video</x:v>
      </x:c>
      <x:c r="E313" s="14" t="str">
        <x:v>Acquisition</x:v>
      </x:c>
      <x:c r="F313" s="14" t="str">
        <x:v>Consumer</x:v>
      </x:c>
      <x:c r="G313" s="14" t="str">
        <x:v>South</x:v>
      </x:c>
      <x:c r="H313" s="14" t="n">
        <x:v>400253</x:v>
      </x:c>
      <x:c r="I313" s="14" t="n">
        <x:v>4040</x:v>
      </x:c>
      <x:c r="J313" s="14" t="n">
        <x:v>185</x:v>
      </x:c>
      <x:c r="K313" s="14" t="n">
        <x:v>22</x:v>
      </x:c>
      <x:c r="L313" s="15" t="n">
        <x:v>26597.89</x:v>
      </x:c>
      <x:c r="M313" s="15" t="n">
        <x:v>20745.36</x:v>
      </x:c>
    </x:row>
    <x:row r="314">
      <x:c r="A314" s="13" t="n">
        <x:v>45658</x:v>
      </x:c>
      <x:c r="B314" s="14" t="str">
        <x:v>CMP027</x:v>
      </x:c>
      <x:c r="C314" s="14" t="str">
        <x:v>Video_LeadGen_02</x:v>
      </x:c>
      <x:c r="D314" s="14" t="str">
        <x:v>Video</x:v>
      </x:c>
      <x:c r="E314" s="14" t="str">
        <x:v>Lead Gen</x:v>
      </x:c>
      <x:c r="F314" s="14" t="str">
        <x:v>Consumer</x:v>
      </x:c>
      <x:c r="G314" s="14" t="str">
        <x:v>East</x:v>
      </x:c>
      <x:c r="H314" s="14" t="n">
        <x:v>561398</x:v>
      </x:c>
      <x:c r="I314" s="14" t="n">
        <x:v>4796</x:v>
      </x:c>
      <x:c r="J314" s="14" t="n">
        <x:v>238</x:v>
      </x:c>
      <x:c r="K314" s="14" t="n">
        <x:v>26</x:v>
      </x:c>
      <x:c r="L314" s="15" t="n">
        <x:v>26188.57</x:v>
      </x:c>
      <x:c r="M314" s="15" t="n">
        <x:v>22787.45</x:v>
      </x:c>
    </x:row>
    <x:row r="315">
      <x:c r="A315" s="13" t="n">
        <x:v>45689</x:v>
      </x:c>
      <x:c r="B315" s="14" t="str">
        <x:v>CMP027</x:v>
      </x:c>
      <x:c r="C315" s="14" t="str">
        <x:v>Video_LeadGen_02</x:v>
      </x:c>
      <x:c r="D315" s="14" t="str">
        <x:v>Video</x:v>
      </x:c>
      <x:c r="E315" s="14" t="str">
        <x:v>Lead Gen</x:v>
      </x:c>
      <x:c r="F315" s="14" t="str">
        <x:v>Consumer</x:v>
      </x:c>
      <x:c r="G315" s="14" t="str">
        <x:v>East</x:v>
      </x:c>
      <x:c r="H315" s="14" t="n">
        <x:v>680718</x:v>
      </x:c>
      <x:c r="I315" s="14" t="n">
        <x:v>6932</x:v>
      </x:c>
      <x:c r="J315" s="14" t="n">
        <x:v>338</x:v>
      </x:c>
      <x:c r="K315" s="14" t="n">
        <x:v>27</x:v>
      </x:c>
      <x:c r="L315" s="15" t="n">
        <x:v>32333.04</x:v>
      </x:c>
      <x:c r="M315" s="15" t="n">
        <x:v>24142.2</x:v>
      </x:c>
    </x:row>
    <x:row r="316">
      <x:c r="A316" s="13" t="n">
        <x:v>45717</x:v>
      </x:c>
      <x:c r="B316" s="14" t="str">
        <x:v>CMP027</x:v>
      </x:c>
      <x:c r="C316" s="14" t="str">
        <x:v>Video_LeadGen_02</x:v>
      </x:c>
      <x:c r="D316" s="14" t="str">
        <x:v>Video</x:v>
      </x:c>
      <x:c r="E316" s="14" t="str">
        <x:v>Lead Gen</x:v>
      </x:c>
      <x:c r="F316" s="14" t="str">
        <x:v>Consumer</x:v>
      </x:c>
      <x:c r="G316" s="14" t="str">
        <x:v>East</x:v>
      </x:c>
      <x:c r="H316" s="14" t="n">
        <x:v>627987</x:v>
      </x:c>
      <x:c r="I316" s="14" t="n">
        <x:v>6041</x:v>
      </x:c>
      <x:c r="J316" s="14" t="n">
        <x:v>278</x:v>
      </x:c>
      <x:c r="K316" s="14" t="n">
        <x:v>23</x:v>
      </x:c>
      <x:c r="L316" s="15" t="n">
        <x:v>27012.92</x:v>
      </x:c>
      <x:c r="M316" s="15" t="n">
        <x:v>22901.16</x:v>
      </x:c>
    </x:row>
    <x:row r="317">
      <x:c r="A317" s="13" t="n">
        <x:v>45748</x:v>
      </x:c>
      <x:c r="B317" s="14" t="str">
        <x:v>CMP027</x:v>
      </x:c>
      <x:c r="C317" s="14" t="str">
        <x:v>Video_LeadGen_02</x:v>
      </x:c>
      <x:c r="D317" s="14" t="str">
        <x:v>Video</x:v>
      </x:c>
      <x:c r="E317" s="14" t="str">
        <x:v>Lead Gen</x:v>
      </x:c>
      <x:c r="F317" s="14" t="str">
        <x:v>Consumer</x:v>
      </x:c>
      <x:c r="G317" s="14" t="str">
        <x:v>East</x:v>
      </x:c>
      <x:c r="H317" s="14" t="n">
        <x:v>687985</x:v>
      </x:c>
      <x:c r="I317" s="14" t="n">
        <x:v>5743</x:v>
      </x:c>
      <x:c r="J317" s="14" t="n">
        <x:v>278</x:v>
      </x:c>
      <x:c r="K317" s="14" t="n">
        <x:v>23</x:v>
      </x:c>
      <x:c r="L317" s="15" t="n">
        <x:v>31199.38</x:v>
      </x:c>
      <x:c r="M317" s="15" t="n">
        <x:v>21867.02</x:v>
      </x:c>
    </x:row>
    <x:row r="318">
      <x:c r="A318" s="13" t="n">
        <x:v>45778</x:v>
      </x:c>
      <x:c r="B318" s="14" t="str">
        <x:v>CMP027</x:v>
      </x:c>
      <x:c r="C318" s="14" t="str">
        <x:v>Video_LeadGen_02</x:v>
      </x:c>
      <x:c r="D318" s="14" t="str">
        <x:v>Video</x:v>
      </x:c>
      <x:c r="E318" s="14" t="str">
        <x:v>Lead Gen</x:v>
      </x:c>
      <x:c r="F318" s="14" t="str">
        <x:v>Consumer</x:v>
      </x:c>
      <x:c r="G318" s="14" t="str">
        <x:v>East</x:v>
      </x:c>
      <x:c r="H318" s="14" t="n">
        <x:v>565307</x:v>
      </x:c>
      <x:c r="I318" s="14" t="n">
        <x:v>5691</x:v>
      </x:c>
      <x:c r="J318" s="14" t="n">
        <x:v>228</x:v>
      </x:c>
      <x:c r="K318" s="14" t="n">
        <x:v>24</x:v>
      </x:c>
      <x:c r="L318" s="15" t="n">
        <x:v>29457.17</x:v>
      </x:c>
      <x:c r="M318" s="15" t="n">
        <x:v>23586.75</x:v>
      </x:c>
    </x:row>
    <x:row r="319">
      <x:c r="A319" s="13" t="n">
        <x:v>45809</x:v>
      </x:c>
      <x:c r="B319" s="14" t="str">
        <x:v>CMP027</x:v>
      </x:c>
      <x:c r="C319" s="14" t="str">
        <x:v>Video_LeadGen_02</x:v>
      </x:c>
      <x:c r="D319" s="14" t="str">
        <x:v>Video</x:v>
      </x:c>
      <x:c r="E319" s="14" t="str">
        <x:v>Lead Gen</x:v>
      </x:c>
      <x:c r="F319" s="14" t="str">
        <x:v>Consumer</x:v>
      </x:c>
      <x:c r="G319" s="14" t="str">
        <x:v>East</x:v>
      </x:c>
      <x:c r="H319" s="14" t="n">
        <x:v>670721</x:v>
      </x:c>
      <x:c r="I319" s="14" t="n">
        <x:v>5432</x:v>
      </x:c>
      <x:c r="J319" s="14" t="n">
        <x:v>246</x:v>
      </x:c>
      <x:c r="K319" s="14" t="n">
        <x:v>22</x:v>
      </x:c>
      <x:c r="L319" s="15" t="n">
        <x:v>30942.21</x:v>
      </x:c>
      <x:c r="M319" s="15" t="n">
        <x:v>20066.09</x:v>
      </x:c>
    </x:row>
    <x:row r="320">
      <x:c r="A320" s="13" t="n">
        <x:v>45839</x:v>
      </x:c>
      <x:c r="B320" s="14" t="str">
        <x:v>CMP027</x:v>
      </x:c>
      <x:c r="C320" s="14" t="str">
        <x:v>Video_LeadGen_02</x:v>
      </x:c>
      <x:c r="D320" s="14" t="str">
        <x:v>Video</x:v>
      </x:c>
      <x:c r="E320" s="14" t="str">
        <x:v>Lead Gen</x:v>
      </x:c>
      <x:c r="F320" s="14" t="str">
        <x:v>Consumer</x:v>
      </x:c>
      <x:c r="G320" s="14" t="str">
        <x:v>East</x:v>
      </x:c>
      <x:c r="H320" s="14" t="n">
        <x:v>496114</x:v>
      </x:c>
      <x:c r="I320" s="14" t="n">
        <x:v>5241</x:v>
      </x:c>
      <x:c r="J320" s="14" t="n">
        <x:v>258</x:v>
      </x:c>
      <x:c r="K320" s="14" t="n">
        <x:v>27</x:v>
      </x:c>
      <x:c r="L320" s="15" t="n">
        <x:v>26617.13</x:v>
      </x:c>
      <x:c r="M320" s="15" t="n">
        <x:v>25276.54</x:v>
      </x:c>
    </x:row>
    <x:row r="321">
      <x:c r="A321" s="13" t="n">
        <x:v>45870</x:v>
      </x:c>
      <x:c r="B321" s="14" t="str">
        <x:v>CMP027</x:v>
      </x:c>
      <x:c r="C321" s="14" t="str">
        <x:v>Video_LeadGen_02</x:v>
      </x:c>
      <x:c r="D321" s="14" t="str">
        <x:v>Video</x:v>
      </x:c>
      <x:c r="E321" s="14" t="str">
        <x:v>Lead Gen</x:v>
      </x:c>
      <x:c r="F321" s="14" t="str">
        <x:v>Consumer</x:v>
      </x:c>
      <x:c r="G321" s="14" t="str">
        <x:v>East</x:v>
      </x:c>
      <x:c r="H321" s="14" t="n">
        <x:v>550508</x:v>
      </x:c>
      <x:c r="I321" s="14" t="n">
        <x:v>5929</x:v>
      </x:c>
      <x:c r="J321" s="14" t="n">
        <x:v>270</x:v>
      </x:c>
      <x:c r="K321" s="14" t="n">
        <x:v>30</x:v>
      </x:c>
      <x:c r="L321" s="15" t="n">
        <x:v>29687.55</x:v>
      </x:c>
      <x:c r="M321" s="15" t="n">
        <x:v>27466.79</x:v>
      </x:c>
    </x:row>
    <x:row r="322">
      <x:c r="A322" s="13" t="n">
        <x:v>45901</x:v>
      </x:c>
      <x:c r="B322" s="14" t="str">
        <x:v>CMP027</x:v>
      </x:c>
      <x:c r="C322" s="14" t="str">
        <x:v>Video_LeadGen_02</x:v>
      </x:c>
      <x:c r="D322" s="14" t="str">
        <x:v>Video</x:v>
      </x:c>
      <x:c r="E322" s="14" t="str">
        <x:v>Lead Gen</x:v>
      </x:c>
      <x:c r="F322" s="14" t="str">
        <x:v>Consumer</x:v>
      </x:c>
      <x:c r="G322" s="14" t="str">
        <x:v>East</x:v>
      </x:c>
      <x:c r="H322" s="14" t="n">
        <x:v>699804</x:v>
      </x:c>
      <x:c r="I322" s="14" t="n">
        <x:v>6214</x:v>
      </x:c>
      <x:c r="J322" s="14" t="n">
        <x:v>291</x:v>
      </x:c>
      <x:c r="K322" s="14" t="n">
        <x:v>29</x:v>
      </x:c>
      <x:c r="L322" s="15" t="n">
        <x:v>31042.89</x:v>
      </x:c>
      <x:c r="M322" s="15" t="n">
        <x:v>29474.87</x:v>
      </x:c>
    </x:row>
    <x:row r="323">
      <x:c r="A323" s="13" t="n">
        <x:v>45931</x:v>
      </x:c>
      <x:c r="B323" s="14" t="str">
        <x:v>CMP027</x:v>
      </x:c>
      <x:c r="C323" s="14" t="str">
        <x:v>Video_LeadGen_02</x:v>
      </x:c>
      <x:c r="D323" s="14" t="str">
        <x:v>Video</x:v>
      </x:c>
      <x:c r="E323" s="14" t="str">
        <x:v>Lead Gen</x:v>
      </x:c>
      <x:c r="F323" s="14" t="str">
        <x:v>Consumer</x:v>
      </x:c>
      <x:c r="G323" s="14" t="str">
        <x:v>East</x:v>
      </x:c>
      <x:c r="H323" s="14" t="n">
        <x:v>610081</x:v>
      </x:c>
      <x:c r="I323" s="14" t="n">
        <x:v>6294</x:v>
      </x:c>
      <x:c r="J323" s="14" t="n">
        <x:v>310</x:v>
      </x:c>
      <x:c r="K323" s="14" t="n">
        <x:v>32</x:v>
      </x:c>
      <x:c r="L323" s="15" t="n">
        <x:v>31022.81</x:v>
      </x:c>
      <x:c r="M323" s="15" t="n">
        <x:v>33244.14</x:v>
      </x:c>
    </x:row>
    <x:row r="324">
      <x:c r="A324" s="13" t="n">
        <x:v>45962</x:v>
      </x:c>
      <x:c r="B324" s="14" t="str">
        <x:v>CMP027</x:v>
      </x:c>
      <x:c r="C324" s="14" t="str">
        <x:v>Video_LeadGen_02</x:v>
      </x:c>
      <x:c r="D324" s="14" t="str">
        <x:v>Video</x:v>
      </x:c>
      <x:c r="E324" s="14" t="str">
        <x:v>Lead Gen</x:v>
      </x:c>
      <x:c r="F324" s="14" t="str">
        <x:v>Consumer</x:v>
      </x:c>
      <x:c r="G324" s="14" t="str">
        <x:v>East</x:v>
      </x:c>
      <x:c r="H324" s="14" t="n">
        <x:v>820802</x:v>
      </x:c>
      <x:c r="I324" s="14" t="n">
        <x:v>6922</x:v>
      </x:c>
      <x:c r="J324" s="14" t="n">
        <x:v>265</x:v>
      </x:c>
      <x:c r="K324" s="14" t="n">
        <x:v>28</x:v>
      </x:c>
      <x:c r="L324" s="15" t="n">
        <x:v>36265.97</x:v>
      </x:c>
      <x:c r="M324" s="15" t="n">
        <x:v>28846.24</x:v>
      </x:c>
    </x:row>
    <x:row r="325">
      <x:c r="A325" s="13" t="n">
        <x:v>45992</x:v>
      </x:c>
      <x:c r="B325" s="14" t="str">
        <x:v>CMP027</x:v>
      </x:c>
      <x:c r="C325" s="14" t="str">
        <x:v>Video_LeadGen_02</x:v>
      </x:c>
      <x:c r="D325" s="14" t="str">
        <x:v>Video</x:v>
      </x:c>
      <x:c r="E325" s="14" t="str">
        <x:v>Lead Gen</x:v>
      </x:c>
      <x:c r="F325" s="14" t="str">
        <x:v>Consumer</x:v>
      </x:c>
      <x:c r="G325" s="14" t="str">
        <x:v>East</x:v>
      </x:c>
      <x:c r="H325" s="14" t="n">
        <x:v>944847</x:v>
      </x:c>
      <x:c r="I325" s="14" t="n">
        <x:v>9491</x:v>
      </x:c>
      <x:c r="J325" s="14" t="n">
        <x:v>361</x:v>
      </x:c>
      <x:c r="K325" s="14" t="n">
        <x:v>33</x:v>
      </x:c>
      <x:c r="L325" s="15" t="n">
        <x:v>41289.51</x:v>
      </x:c>
      <x:c r="M325" s="15" t="n">
        <x:v>32438.92</x:v>
      </x:c>
    </x:row>
    <x:row r="326">
      <x:c r="A326" s="13" t="n">
        <x:v>45658</x:v>
      </x:c>
      <x:c r="B326" s="14" t="str">
        <x:v>CMP028</x:v>
      </x:c>
      <x:c r="C326" s="14" t="str">
        <x:v>Video_LeadGen_03</x:v>
      </x:c>
      <x:c r="D326" s="14" t="str">
        <x:v>Video</x:v>
      </x:c>
      <x:c r="E326" s="14" t="str">
        <x:v>Lead Gen</x:v>
      </x:c>
      <x:c r="F326" s="14" t="str">
        <x:v>B2B</x:v>
      </x:c>
      <x:c r="G326" s="14" t="str">
        <x:v>North</x:v>
      </x:c>
      <x:c r="H326" s="14" t="n">
        <x:v>277192</x:v>
      </x:c>
      <x:c r="I326" s="14" t="n">
        <x:v>2481</x:v>
      </x:c>
      <x:c r="J326" s="14" t="n">
        <x:v>101</x:v>
      </x:c>
      <x:c r="K326" s="14" t="n">
        <x:v>11</x:v>
      </x:c>
      <x:c r="L326" s="15" t="n">
        <x:v>20901.59</x:v>
      </x:c>
      <x:c r="M326" s="15" t="n">
        <x:v>10908.97</x:v>
      </x:c>
    </x:row>
    <x:row r="327">
      <x:c r="A327" s="13" t="n">
        <x:v>45689</x:v>
      </x:c>
      <x:c r="B327" s="14" t="str">
        <x:v>CMP028</x:v>
      </x:c>
      <x:c r="C327" s="14" t="str">
        <x:v>Video_LeadGen_03</x:v>
      </x:c>
      <x:c r="D327" s="14" t="str">
        <x:v>Video</x:v>
      </x:c>
      <x:c r="E327" s="14" t="str">
        <x:v>Lead Gen</x:v>
      </x:c>
      <x:c r="F327" s="14" t="str">
        <x:v>B2B</x:v>
      </x:c>
      <x:c r="G327" s="14" t="str">
        <x:v>North</x:v>
      </x:c>
      <x:c r="H327" s="14" t="n">
        <x:v>361032</x:v>
      </x:c>
      <x:c r="I327" s="14" t="n">
        <x:v>3662</x:v>
      </x:c>
      <x:c r="J327" s="14" t="n">
        <x:v>176</x:v>
      </x:c>
      <x:c r="K327" s="14" t="n">
        <x:v>14</x:v>
      </x:c>
      <x:c r="L327" s="15" t="n">
        <x:v>22827.95</x:v>
      </x:c>
      <x:c r="M327" s="15" t="n">
        <x:v>15799.17</x:v>
      </x:c>
    </x:row>
    <x:row r="328">
      <x:c r="A328" s="13" t="n">
        <x:v>45717</x:v>
      </x:c>
      <x:c r="B328" s="14" t="str">
        <x:v>CMP028</x:v>
      </x:c>
      <x:c r="C328" s="14" t="str">
        <x:v>Video_LeadGen_03</x:v>
      </x:c>
      <x:c r="D328" s="14" t="str">
        <x:v>Video</x:v>
      </x:c>
      <x:c r="E328" s="14" t="str">
        <x:v>Lead Gen</x:v>
      </x:c>
      <x:c r="F328" s="14" t="str">
        <x:v>B2B</x:v>
      </x:c>
      <x:c r="G328" s="14" t="str">
        <x:v>North</x:v>
      </x:c>
      <x:c r="H328" s="14" t="n">
        <x:v>310166</x:v>
      </x:c>
      <x:c r="I328" s="14" t="n">
        <x:v>2820</x:v>
      </x:c>
      <x:c r="J328" s="14" t="n">
        <x:v>103</x:v>
      </x:c>
      <x:c r="K328" s="14" t="n">
        <x:v>11</x:v>
      </x:c>
      <x:c r="L328" s="15" t="n">
        <x:v>20822.17</x:v>
      </x:c>
      <x:c r="M328" s="15" t="n">
        <x:v>11403.55</x:v>
      </x:c>
    </x:row>
    <x:row r="329">
      <x:c r="A329" s="13" t="n">
        <x:v>45748</x:v>
      </x:c>
      <x:c r="B329" s="14" t="str">
        <x:v>CMP028</x:v>
      </x:c>
      <x:c r="C329" s="14" t="str">
        <x:v>Video_LeadGen_03</x:v>
      </x:c>
      <x:c r="D329" s="14" t="str">
        <x:v>Video</x:v>
      </x:c>
      <x:c r="E329" s="14" t="str">
        <x:v>Lead Gen</x:v>
      </x:c>
      <x:c r="F329" s="14" t="str">
        <x:v>B2B</x:v>
      </x:c>
      <x:c r="G329" s="14" t="str">
        <x:v>North</x:v>
      </x:c>
      <x:c r="H329" s="14" t="n">
        <x:v>341340</x:v>
      </x:c>
      <x:c r="I329" s="14" t="n">
        <x:v>3028</x:v>
      </x:c>
      <x:c r="J329" s="14" t="n">
        <x:v>118</x:v>
      </x:c>
      <x:c r="K329" s="14" t="n">
        <x:v>10</x:v>
      </x:c>
      <x:c r="L329" s="15" t="n">
        <x:v>23724.29</x:v>
      </x:c>
      <x:c r="M329" s="15" t="n">
        <x:v>10286.3</x:v>
      </x:c>
    </x:row>
    <x:row r="330">
      <x:c r="A330" s="13" t="n">
        <x:v>45778</x:v>
      </x:c>
      <x:c r="B330" s="14" t="str">
        <x:v>CMP028</x:v>
      </x:c>
      <x:c r="C330" s="14" t="str">
        <x:v>Video_LeadGen_03</x:v>
      </x:c>
      <x:c r="D330" s="14" t="str">
        <x:v>Video</x:v>
      </x:c>
      <x:c r="E330" s="14" t="str">
        <x:v>Lead Gen</x:v>
      </x:c>
      <x:c r="F330" s="14" t="str">
        <x:v>B2B</x:v>
      </x:c>
      <x:c r="G330" s="14" t="str">
        <x:v>North</x:v>
      </x:c>
      <x:c r="H330" s="14" t="n">
        <x:v>330409</x:v>
      </x:c>
      <x:c r="I330" s="14" t="n">
        <x:v>3397</x:v>
      </x:c>
      <x:c r="J330" s="14" t="n">
        <x:v>138</x:v>
      </x:c>
      <x:c r="K330" s="14" t="n">
        <x:v>15</x:v>
      </x:c>
      <x:c r="L330" s="15" t="n">
        <x:v>21364.21</x:v>
      </x:c>
      <x:c r="M330" s="15" t="n">
        <x:v>16665.31</x:v>
      </x:c>
    </x:row>
    <x:row r="331">
      <x:c r="A331" s="13" t="n">
        <x:v>45809</x:v>
      </x:c>
      <x:c r="B331" s="14" t="str">
        <x:v>CMP028</x:v>
      </x:c>
      <x:c r="C331" s="14" t="str">
        <x:v>Video_LeadGen_03</x:v>
      </x:c>
      <x:c r="D331" s="14" t="str">
        <x:v>Video</x:v>
      </x:c>
      <x:c r="E331" s="14" t="str">
        <x:v>Lead Gen</x:v>
      </x:c>
      <x:c r="F331" s="14" t="str">
        <x:v>B2B</x:v>
      </x:c>
      <x:c r="G331" s="14" t="str">
        <x:v>North</x:v>
      </x:c>
      <x:c r="H331" s="14" t="n">
        <x:v>303989</x:v>
      </x:c>
      <x:c r="I331" s="14" t="n">
        <x:v>2724</x:v>
      </x:c>
      <x:c r="J331" s="14" t="n">
        <x:v>101</x:v>
      </x:c>
      <x:c r="K331" s="14" t="n">
        <x:v>8</x:v>
      </x:c>
      <x:c r="L331" s="15" t="n">
        <x:v>21301.99</x:v>
      </x:c>
      <x:c r="M331" s="15" t="n">
        <x:v>7815.29</x:v>
      </x:c>
    </x:row>
    <x:row r="332">
      <x:c r="A332" s="13" t="n">
        <x:v>45839</x:v>
      </x:c>
      <x:c r="B332" s="14" t="str">
        <x:v>CMP028</x:v>
      </x:c>
      <x:c r="C332" s="14" t="str">
        <x:v>Video_LeadGen_03</x:v>
      </x:c>
      <x:c r="D332" s="14" t="str">
        <x:v>Video</x:v>
      </x:c>
      <x:c r="E332" s="14" t="str">
        <x:v>Lead Gen</x:v>
      </x:c>
      <x:c r="F332" s="14" t="str">
        <x:v>B2B</x:v>
      </x:c>
      <x:c r="G332" s="14" t="str">
        <x:v>North</x:v>
      </x:c>
      <x:c r="H332" s="14" t="n">
        <x:v>327520</x:v>
      </x:c>
      <x:c r="I332" s="14" t="n">
        <x:v>2785</x:v>
      </x:c>
      <x:c r="J332" s="14" t="n">
        <x:v>100</x:v>
      </x:c>
      <x:c r="K332" s="14" t="n">
        <x:v>9</x:v>
      </x:c>
      <x:c r="L332" s="15" t="n">
        <x:v>23880.08</x:v>
      </x:c>
      <x:c r="M332" s="15" t="n">
        <x:v>9012.09</x:v>
      </x:c>
    </x:row>
    <x:row r="333">
      <x:c r="A333" s="13" t="n">
        <x:v>45870</x:v>
      </x:c>
      <x:c r="B333" s="14" t="str">
        <x:v>CMP028</x:v>
      </x:c>
      <x:c r="C333" s="14" t="str">
        <x:v>Video_LeadGen_03</x:v>
      </x:c>
      <x:c r="D333" s="14" t="str">
        <x:v>Video</x:v>
      </x:c>
      <x:c r="E333" s="14" t="str">
        <x:v>Lead Gen</x:v>
      </x:c>
      <x:c r="F333" s="14" t="str">
        <x:v>B2B</x:v>
      </x:c>
      <x:c r="G333" s="14" t="str">
        <x:v>North</x:v>
      </x:c>
      <x:c r="H333" s="14" t="n">
        <x:v>311317</x:v>
      </x:c>
      <x:c r="I333" s="14" t="n">
        <x:v>2880</x:v>
      </x:c>
      <x:c r="J333" s="14" t="n">
        <x:v>126</x:v>
      </x:c>
      <x:c r="K333" s="14" t="n">
        <x:v>11</x:v>
      </x:c>
      <x:c r="L333" s="15" t="n">
        <x:v>22271.89</x:v>
      </x:c>
      <x:c r="M333" s="15" t="n">
        <x:v>12011.9</x:v>
      </x:c>
    </x:row>
    <x:row r="334">
      <x:c r="A334" s="13" t="n">
        <x:v>45901</x:v>
      </x:c>
      <x:c r="B334" s="14" t="str">
        <x:v>CMP028</x:v>
      </x:c>
      <x:c r="C334" s="14" t="str">
        <x:v>Video_LeadGen_03</x:v>
      </x:c>
      <x:c r="D334" s="14" t="str">
        <x:v>Video</x:v>
      </x:c>
      <x:c r="E334" s="14" t="str">
        <x:v>Lead Gen</x:v>
      </x:c>
      <x:c r="F334" s="14" t="str">
        <x:v>B2B</x:v>
      </x:c>
      <x:c r="G334" s="14" t="str">
        <x:v>North</x:v>
      </x:c>
      <x:c r="H334" s="14" t="n">
        <x:v>335413</x:v>
      </x:c>
      <x:c r="I334" s="14" t="n">
        <x:v>2930</x:v>
      </x:c>
      <x:c r="J334" s="14" t="n">
        <x:v>106</x:v>
      </x:c>
      <x:c r="K334" s="14" t="n">
        <x:v>11</x:v>
      </x:c>
      <x:c r="L334" s="15" t="n">
        <x:v>24815.86</x:v>
      </x:c>
      <x:c r="M334" s="15" t="n">
        <x:v>10539.47</x:v>
      </x:c>
    </x:row>
    <x:row r="335">
      <x:c r="A335" s="13" t="n">
        <x:v>45931</x:v>
      </x:c>
      <x:c r="B335" s="14" t="str">
        <x:v>CMP028</x:v>
      </x:c>
      <x:c r="C335" s="14" t="str">
        <x:v>Video_LeadGen_03</x:v>
      </x:c>
      <x:c r="D335" s="14" t="str">
        <x:v>Video</x:v>
      </x:c>
      <x:c r="E335" s="14" t="str">
        <x:v>Lead Gen</x:v>
      </x:c>
      <x:c r="F335" s="14" t="str">
        <x:v>B2B</x:v>
      </x:c>
      <x:c r="G335" s="14" t="str">
        <x:v>North</x:v>
      </x:c>
      <x:c r="H335" s="14" t="n">
        <x:v>336534</x:v>
      </x:c>
      <x:c r="I335" s="14" t="n">
        <x:v>3392</x:v>
      </x:c>
      <x:c r="J335" s="14" t="n">
        <x:v>142</x:v>
      </x:c>
      <x:c r="K335" s="14" t="n">
        <x:v>14</x:v>
      </x:c>
      <x:c r="L335" s="15" t="n">
        <x:v>24012.42</x:v>
      </x:c>
      <x:c r="M335" s="15" t="n">
        <x:v>13096.33</x:v>
      </x:c>
    </x:row>
    <x:row r="336">
      <x:c r="A336" s="13" t="n">
        <x:v>45962</x:v>
      </x:c>
      <x:c r="B336" s="14" t="str">
        <x:v>CMP028</x:v>
      </x:c>
      <x:c r="C336" s="14" t="str">
        <x:v>Video_LeadGen_03</x:v>
      </x:c>
      <x:c r="D336" s="14" t="str">
        <x:v>Video</x:v>
      </x:c>
      <x:c r="E336" s="14" t="str">
        <x:v>Lead Gen</x:v>
      </x:c>
      <x:c r="F336" s="14" t="str">
        <x:v>B2B</x:v>
      </x:c>
      <x:c r="G336" s="14" t="str">
        <x:v>North</x:v>
      </x:c>
      <x:c r="H336" s="14" t="n">
        <x:v>264645</x:v>
      </x:c>
      <x:c r="I336" s="14" t="n">
        <x:v>2691</x:v>
      </x:c>
      <x:c r="J336" s="14" t="n">
        <x:v>117</x:v>
      </x:c>
      <x:c r="K336" s="14" t="n">
        <x:v>12</x:v>
      </x:c>
      <x:c r="L336" s="15" t="n">
        <x:v>20511.75</x:v>
      </x:c>
      <x:c r="M336" s="15" t="n">
        <x:v>12096.27</x:v>
      </x:c>
    </x:row>
    <x:row r="337">
      <x:c r="A337" s="13" t="n">
        <x:v>45992</x:v>
      </x:c>
      <x:c r="B337" s="14" t="str">
        <x:v>CMP028</x:v>
      </x:c>
      <x:c r="C337" s="14" t="str">
        <x:v>Video_LeadGen_03</x:v>
      </x:c>
      <x:c r="D337" s="14" t="str">
        <x:v>Video</x:v>
      </x:c>
      <x:c r="E337" s="14" t="str">
        <x:v>Lead Gen</x:v>
      </x:c>
      <x:c r="F337" s="14" t="str">
        <x:v>B2B</x:v>
      </x:c>
      <x:c r="G337" s="14" t="str">
        <x:v>North</x:v>
      </x:c>
      <x:c r="H337" s="14" t="n">
        <x:v>416992</x:v>
      </x:c>
      <x:c r="I337" s="14" t="n">
        <x:v>3927</x:v>
      </x:c>
      <x:c r="J337" s="14" t="n">
        <x:v>133</x:v>
      </x:c>
      <x:c r="K337" s="14" t="n">
        <x:v>13</x:v>
      </x:c>
      <x:c r="L337" s="15" t="n">
        <x:v>27913.78</x:v>
      </x:c>
      <x:c r="M337" s="15" t="n">
        <x:v>12999.75</x:v>
      </x:c>
    </x:row>
    <x:row r="338">
      <x:c r="A338" s="13" t="n">
        <x:v>45658</x:v>
      </x:c>
      <x:c r="B338" s="14" t="str">
        <x:v>CMP029</x:v>
      </x:c>
      <x:c r="C338" s="14" t="str">
        <x:v>Video_LeadGen_04</x:v>
      </x:c>
      <x:c r="D338" s="14" t="str">
        <x:v>Video</x:v>
      </x:c>
      <x:c r="E338" s="14" t="str">
        <x:v>Lead Gen</x:v>
      </x:c>
      <x:c r="F338" s="14" t="str">
        <x:v>Consumer</x:v>
      </x:c>
      <x:c r="G338" s="14" t="str">
        <x:v>East</x:v>
      </x:c>
      <x:c r="H338" s="14" t="n">
        <x:v>210819</x:v>
      </x:c>
      <x:c r="I338" s="14" t="n">
        <x:v>1494</x:v>
      </x:c>
      <x:c r="J338" s="14" t="n">
        <x:v>65</x:v>
      </x:c>
      <x:c r="K338" s="14" t="n">
        <x:v>6</x:v>
      </x:c>
      <x:c r="L338" s="15" t="n">
        <x:v>16961</x:v>
      </x:c>
      <x:c r="M338" s="15" t="n">
        <x:v>5456.82</x:v>
      </x:c>
    </x:row>
    <x:row r="339">
      <x:c r="A339" s="13" t="n">
        <x:v>45689</x:v>
      </x:c>
      <x:c r="B339" s="14" t="str">
        <x:v>CMP029</x:v>
      </x:c>
      <x:c r="C339" s="14" t="str">
        <x:v>Video_LeadGen_04</x:v>
      </x:c>
      <x:c r="D339" s="14" t="str">
        <x:v>Video</x:v>
      </x:c>
      <x:c r="E339" s="14" t="str">
        <x:v>Lead Gen</x:v>
      </x:c>
      <x:c r="F339" s="14" t="str">
        <x:v>Consumer</x:v>
      </x:c>
      <x:c r="G339" s="14" t="str">
        <x:v>East</x:v>
      </x:c>
      <x:c r="H339" s="14" t="n">
        <x:v>201470</x:v>
      </x:c>
      <x:c r="I339" s="14" t="n">
        <x:v>1686</x:v>
      </x:c>
      <x:c r="J339" s="14" t="n">
        <x:v>79</x:v>
      </x:c>
      <x:c r="K339" s="14" t="n">
        <x:v>6</x:v>
      </x:c>
      <x:c r="L339" s="15" t="n">
        <x:v>17347.68</x:v>
      </x:c>
      <x:c r="M339" s="15" t="n">
        <x:v>6176.58</x:v>
      </x:c>
    </x:row>
    <x:row r="340">
      <x:c r="A340" s="13" t="n">
        <x:v>45717</x:v>
      </x:c>
      <x:c r="B340" s="14" t="str">
        <x:v>CMP029</x:v>
      </x:c>
      <x:c r="C340" s="14" t="str">
        <x:v>Video_LeadGen_04</x:v>
      </x:c>
      <x:c r="D340" s="14" t="str">
        <x:v>Video</x:v>
      </x:c>
      <x:c r="E340" s="14" t="str">
        <x:v>Lead Gen</x:v>
      </x:c>
      <x:c r="F340" s="14" t="str">
        <x:v>Consumer</x:v>
      </x:c>
      <x:c r="G340" s="14" t="str">
        <x:v>East</x:v>
      </x:c>
      <x:c r="H340" s="14" t="n">
        <x:v>238549</x:v>
      </x:c>
      <x:c r="I340" s="14" t="n">
        <x:v>2136</x:v>
      </x:c>
      <x:c r="J340" s="14" t="n">
        <x:v>79</x:v>
      </x:c>
      <x:c r="K340" s="14" t="n">
        <x:v>7</x:v>
      </x:c>
      <x:c r="L340" s="15" t="n">
        <x:v>18390.17</x:v>
      </x:c>
      <x:c r="M340" s="15" t="n">
        <x:v>7042.27</x:v>
      </x:c>
    </x:row>
    <x:row r="341">
      <x:c r="A341" s="13" t="n">
        <x:v>45748</x:v>
      </x:c>
      <x:c r="B341" s="14" t="str">
        <x:v>CMP029</x:v>
      </x:c>
      <x:c r="C341" s="14" t="str">
        <x:v>Video_LeadGen_04</x:v>
      </x:c>
      <x:c r="D341" s="14" t="str">
        <x:v>Video</x:v>
      </x:c>
      <x:c r="E341" s="14" t="str">
        <x:v>Lead Gen</x:v>
      </x:c>
      <x:c r="F341" s="14" t="str">
        <x:v>Consumer</x:v>
      </x:c>
      <x:c r="G341" s="14" t="str">
        <x:v>East</x:v>
      </x:c>
      <x:c r="H341" s="14" t="n">
        <x:v>179931</x:v>
      </x:c>
      <x:c r="I341" s="14" t="n">
        <x:v>1521</x:v>
      </x:c>
      <x:c r="J341" s="14" t="n">
        <x:v>56</x:v>
      </x:c>
      <x:c r="K341" s="14" t="n">
        <x:v>5</x:v>
      </x:c>
      <x:c r="L341" s="15" t="n">
        <x:v>16421.13</x:v>
      </x:c>
      <x:c r="M341" s="15" t="n">
        <x:v>4559.98</x:v>
      </x:c>
    </x:row>
    <x:row r="342">
      <x:c r="A342" s="13" t="n">
        <x:v>45778</x:v>
      </x:c>
      <x:c r="B342" s="14" t="str">
        <x:v>CMP029</x:v>
      </x:c>
      <x:c r="C342" s="14" t="str">
        <x:v>Video_LeadGen_04</x:v>
      </x:c>
      <x:c r="D342" s="14" t="str">
        <x:v>Video</x:v>
      </x:c>
      <x:c r="E342" s="14" t="str">
        <x:v>Lead Gen</x:v>
      </x:c>
      <x:c r="F342" s="14" t="str">
        <x:v>Consumer</x:v>
      </x:c>
      <x:c r="G342" s="14" t="str">
        <x:v>East</x:v>
      </x:c>
      <x:c r="H342" s="14" t="n">
        <x:v>278198</x:v>
      </x:c>
      <x:c r="I342" s="14" t="n">
        <x:v>2811</x:v>
      </x:c>
      <x:c r="J342" s="14" t="n">
        <x:v>120</x:v>
      </x:c>
      <x:c r="K342" s="14" t="n">
        <x:v>9</x:v>
      </x:c>
      <x:c r="L342" s="15" t="n">
        <x:v>20566.69</x:v>
      </x:c>
      <x:c r="M342" s="15" t="n">
        <x:v>8388.03</x:v>
      </x:c>
    </x:row>
    <x:row r="343">
      <x:c r="A343" s="13" t="n">
        <x:v>45809</x:v>
      </x:c>
      <x:c r="B343" s="14" t="str">
        <x:v>CMP029</x:v>
      </x:c>
      <x:c r="C343" s="14" t="str">
        <x:v>Video_LeadGen_04</x:v>
      </x:c>
      <x:c r="D343" s="14" t="str">
        <x:v>Video</x:v>
      </x:c>
      <x:c r="E343" s="14" t="str">
        <x:v>Lead Gen</x:v>
      </x:c>
      <x:c r="F343" s="14" t="str">
        <x:v>Consumer</x:v>
      </x:c>
      <x:c r="G343" s="14" t="str">
        <x:v>East</x:v>
      </x:c>
      <x:c r="H343" s="14" t="n">
        <x:v>227367</x:v>
      </x:c>
      <x:c r="I343" s="14" t="n">
        <x:v>2048</x:v>
      </x:c>
      <x:c r="J343" s="14" t="n">
        <x:v>89</x:v>
      </x:c>
      <x:c r="K343" s="14" t="n">
        <x:v>7</x:v>
      </x:c>
      <x:c r="L343" s="15" t="n">
        <x:v>18582.37</x:v>
      </x:c>
      <x:c r="M343" s="15" t="n">
        <x:v>7109.29</x:v>
      </x:c>
    </x:row>
    <x:row r="344">
      <x:c r="A344" s="13" t="n">
        <x:v>45839</x:v>
      </x:c>
      <x:c r="B344" s="14" t="str">
        <x:v>CMP029</x:v>
      </x:c>
      <x:c r="C344" s="14" t="str">
        <x:v>Video_LeadGen_04</x:v>
      </x:c>
      <x:c r="D344" s="14" t="str">
        <x:v>Video</x:v>
      </x:c>
      <x:c r="E344" s="14" t="str">
        <x:v>Lead Gen</x:v>
      </x:c>
      <x:c r="F344" s="14" t="str">
        <x:v>Consumer</x:v>
      </x:c>
      <x:c r="G344" s="14" t="str">
        <x:v>East</x:v>
      </x:c>
      <x:c r="H344" s="14" t="n">
        <x:v>242084</x:v>
      </x:c>
      <x:c r="I344" s="14" t="n">
        <x:v>2435</x:v>
      </x:c>
      <x:c r="J344" s="14" t="n">
        <x:v>116</x:v>
      </x:c>
      <x:c r="K344" s="14" t="n">
        <x:v>12</x:v>
      </x:c>
      <x:c r="L344" s="15" t="n">
        <x:v>19093.93</x:v>
      </x:c>
      <x:c r="M344" s="15" t="n">
        <x:v>12355.67</x:v>
      </x:c>
    </x:row>
    <x:row r="345">
      <x:c r="A345" s="13" t="n">
        <x:v>45870</x:v>
      </x:c>
      <x:c r="B345" s="14" t="str">
        <x:v>CMP029</x:v>
      </x:c>
      <x:c r="C345" s="14" t="str">
        <x:v>Video_LeadGen_04</x:v>
      </x:c>
      <x:c r="D345" s="14" t="str">
        <x:v>Video</x:v>
      </x:c>
      <x:c r="E345" s="14" t="str">
        <x:v>Lead Gen</x:v>
      </x:c>
      <x:c r="F345" s="14" t="str">
        <x:v>Consumer</x:v>
      </x:c>
      <x:c r="G345" s="14" t="str">
        <x:v>East</x:v>
      </x:c>
      <x:c r="H345" s="14" t="n">
        <x:v>177577</x:v>
      </x:c>
      <x:c r="I345" s="14" t="n">
        <x:v>1630</x:v>
      </x:c>
      <x:c r="J345" s="14" t="n">
        <x:v>67</x:v>
      </x:c>
      <x:c r="K345" s="14" t="n">
        <x:v>5</x:v>
      </x:c>
      <x:c r="L345" s="15" t="n">
        <x:v>16003.01</x:v>
      </x:c>
      <x:c r="M345" s="15" t="n">
        <x:v>5152.95</x:v>
      </x:c>
    </x:row>
    <x:row r="346">
      <x:c r="A346" s="13" t="n">
        <x:v>45901</x:v>
      </x:c>
      <x:c r="B346" s="14" t="str">
        <x:v>CMP029</x:v>
      </x:c>
      <x:c r="C346" s="14" t="str">
        <x:v>Video_LeadGen_04</x:v>
      </x:c>
      <x:c r="D346" s="14" t="str">
        <x:v>Video</x:v>
      </x:c>
      <x:c r="E346" s="14" t="str">
        <x:v>Lead Gen</x:v>
      </x:c>
      <x:c r="F346" s="14" t="str">
        <x:v>Consumer</x:v>
      </x:c>
      <x:c r="G346" s="14" t="str">
        <x:v>East</x:v>
      </x:c>
      <x:c r="H346" s="14" t="n">
        <x:v>255614</x:v>
      </x:c>
      <x:c r="I346" s="14" t="n">
        <x:v>2228</x:v>
      </x:c>
      <x:c r="J346" s="14" t="n">
        <x:v>95</x:v>
      </x:c>
      <x:c r="K346" s="14" t="n">
        <x:v>7</x:v>
      </x:c>
      <x:c r="L346" s="15" t="n">
        <x:v>19904.45</x:v>
      </x:c>
      <x:c r="M346" s="15" t="n">
        <x:v>7116.07</x:v>
      </x:c>
    </x:row>
    <x:row r="347">
      <x:c r="A347" s="13" t="n">
        <x:v>45931</x:v>
      </x:c>
      <x:c r="B347" s="14" t="str">
        <x:v>CMP029</x:v>
      </x:c>
      <x:c r="C347" s="14" t="str">
        <x:v>Video_LeadGen_04</x:v>
      </x:c>
      <x:c r="D347" s="14" t="str">
        <x:v>Video</x:v>
      </x:c>
      <x:c r="E347" s="14" t="str">
        <x:v>Lead Gen</x:v>
      </x:c>
      <x:c r="F347" s="14" t="str">
        <x:v>Consumer</x:v>
      </x:c>
      <x:c r="G347" s="14" t="str">
        <x:v>East</x:v>
      </x:c>
      <x:c r="H347" s="14" t="n">
        <x:v>215885</x:v>
      </x:c>
      <x:c r="I347" s="14" t="n">
        <x:v>1615</x:v>
      </x:c>
      <x:c r="J347" s="14" t="n">
        <x:v>73</x:v>
      </x:c>
      <x:c r="K347" s="14" t="n">
        <x:v>7</x:v>
      </x:c>
      <x:c r="L347" s="15" t="n">
        <x:v>16498.93</x:v>
      </x:c>
      <x:c r="M347" s="15" t="n">
        <x:v>7220.4</x:v>
      </x:c>
    </x:row>
    <x:row r="348">
      <x:c r="A348" s="13" t="n">
        <x:v>45962</x:v>
      </x:c>
      <x:c r="B348" s="14" t="str">
        <x:v>CMP029</x:v>
      </x:c>
      <x:c r="C348" s="14" t="str">
        <x:v>Video_LeadGen_04</x:v>
      </x:c>
      <x:c r="D348" s="14" t="str">
        <x:v>Video</x:v>
      </x:c>
      <x:c r="E348" s="14" t="str">
        <x:v>Lead Gen</x:v>
      </x:c>
      <x:c r="F348" s="14" t="str">
        <x:v>Consumer</x:v>
      </x:c>
      <x:c r="G348" s="14" t="str">
        <x:v>East</x:v>
      </x:c>
      <x:c r="H348" s="14" t="n">
        <x:v>235276</x:v>
      </x:c>
      <x:c r="I348" s="14" t="n">
        <x:v>2068</x:v>
      </x:c>
      <x:c r="J348" s="14" t="n">
        <x:v>94</x:v>
      </x:c>
      <x:c r="K348" s="14" t="n">
        <x:v>9</x:v>
      </x:c>
      <x:c r="L348" s="15" t="n">
        <x:v>19637.05</x:v>
      </x:c>
      <x:c r="M348" s="15" t="n">
        <x:v>8619.36</x:v>
      </x:c>
    </x:row>
    <x:row r="349">
      <x:c r="A349" s="13" t="n">
        <x:v>45992</x:v>
      </x:c>
      <x:c r="B349" s="14" t="str">
        <x:v>CMP029</x:v>
      </x:c>
      <x:c r="C349" s="14" t="str">
        <x:v>Video_LeadGen_04</x:v>
      </x:c>
      <x:c r="D349" s="14" t="str">
        <x:v>Video</x:v>
      </x:c>
      <x:c r="E349" s="14" t="str">
        <x:v>Lead Gen</x:v>
      </x:c>
      <x:c r="F349" s="14" t="str">
        <x:v>Consumer</x:v>
      </x:c>
      <x:c r="G349" s="14" t="str">
        <x:v>East</x:v>
      </x:c>
      <x:c r="H349" s="14" t="n">
        <x:v>242528</x:v>
      </x:c>
      <x:c r="I349" s="14" t="n">
        <x:v>2299</x:v>
      </x:c>
      <x:c r="J349" s="14" t="n">
        <x:v>99</x:v>
      </x:c>
      <x:c r="K349" s="14" t="n">
        <x:v>7</x:v>
      </x:c>
      <x:c r="L349" s="15" t="n">
        <x:v>21083.42</x:v>
      </x:c>
      <x:c r="M349" s="15" t="n">
        <x:v>6976.46</x:v>
      </x:c>
    </x:row>
    <x:row r="350">
      <x:c r="A350" s="13" t="n">
        <x:v>45658</x:v>
      </x:c>
      <x:c r="B350" s="14" t="str">
        <x:v>CMP030</x:v>
      </x:c>
      <x:c r="C350" s="14" t="str">
        <x:v>Video_Retargeting_05</x:v>
      </x:c>
      <x:c r="D350" s="14" t="str">
        <x:v>Video</x:v>
      </x:c>
      <x:c r="E350" s="14" t="str">
        <x:v>Retargeting</x:v>
      </x:c>
      <x:c r="F350" s="14" t="str">
        <x:v>B2B</x:v>
      </x:c>
      <x:c r="G350" s="14" t="str">
        <x:v>North</x:v>
      </x:c>
      <x:c r="H350" s="14" t="n">
        <x:v>437693</x:v>
      </x:c>
      <x:c r="I350" s="14" t="n">
        <x:v>4317</x:v>
      </x:c>
      <x:c r="J350" s="14" t="n">
        <x:v>210</x:v>
      </x:c>
      <x:c r="K350" s="14" t="n">
        <x:v>20</x:v>
      </x:c>
      <x:c r="L350" s="15" t="n">
        <x:v>25374.5</x:v>
      </x:c>
      <x:c r="M350" s="15" t="n">
        <x:v>24239.79</x:v>
      </x:c>
    </x:row>
    <x:row r="351">
      <x:c r="A351" s="13" t="n">
        <x:v>45689</x:v>
      </x:c>
      <x:c r="B351" s="14" t="str">
        <x:v>CMP030</x:v>
      </x:c>
      <x:c r="C351" s="14" t="str">
        <x:v>Video_Retargeting_05</x:v>
      </x:c>
      <x:c r="D351" s="14" t="str">
        <x:v>Video</x:v>
      </x:c>
      <x:c r="E351" s="14" t="str">
        <x:v>Retargeting</x:v>
      </x:c>
      <x:c r="F351" s="14" t="str">
        <x:v>B2B</x:v>
      </x:c>
      <x:c r="G351" s="14" t="str">
        <x:v>North</x:v>
      </x:c>
      <x:c r="H351" s="14" t="n">
        <x:v>352309</x:v>
      </x:c>
      <x:c r="I351" s="14" t="n">
        <x:v>3730</x:v>
      </x:c>
      <x:c r="J351" s="14" t="n">
        <x:v>156</x:v>
      </x:c>
      <x:c r="K351" s="14" t="n">
        <x:v>14</x:v>
      </x:c>
      <x:c r="L351" s="15" t="n">
        <x:v>20081.66</x:v>
      </x:c>
      <x:c r="M351" s="15" t="n">
        <x:v>17507.07</x:v>
      </x:c>
    </x:row>
    <x:row r="352">
      <x:c r="A352" s="13" t="n">
        <x:v>45717</x:v>
      </x:c>
      <x:c r="B352" s="14" t="str">
        <x:v>CMP030</x:v>
      </x:c>
      <x:c r="C352" s="14" t="str">
        <x:v>Video_Retargeting_05</x:v>
      </x:c>
      <x:c r="D352" s="14" t="str">
        <x:v>Video</x:v>
      </x:c>
      <x:c r="E352" s="14" t="str">
        <x:v>Retargeting</x:v>
      </x:c>
      <x:c r="F352" s="14" t="str">
        <x:v>B2B</x:v>
      </x:c>
      <x:c r="G352" s="14" t="str">
        <x:v>North</x:v>
      </x:c>
      <x:c r="H352" s="14" t="n">
        <x:v>387115</x:v>
      </x:c>
      <x:c r="I352" s="14" t="n">
        <x:v>3682</x:v>
      </x:c>
      <x:c r="J352" s="14" t="n">
        <x:v>131</x:v>
      </x:c>
      <x:c r="K352" s="14" t="n">
        <x:v>13</x:v>
      </x:c>
      <x:c r="L352" s="15" t="n">
        <x:v>24341.45</x:v>
      </x:c>
      <x:c r="M352" s="15" t="n">
        <x:v>15829.06</x:v>
      </x:c>
    </x:row>
    <x:row r="353">
      <x:c r="A353" s="13" t="n">
        <x:v>45748</x:v>
      </x:c>
      <x:c r="B353" s="14" t="str">
        <x:v>CMP030</x:v>
      </x:c>
      <x:c r="C353" s="14" t="str">
        <x:v>Video_Retargeting_05</x:v>
      </x:c>
      <x:c r="D353" s="14" t="str">
        <x:v>Video</x:v>
      </x:c>
      <x:c r="E353" s="14" t="str">
        <x:v>Retargeting</x:v>
      </x:c>
      <x:c r="F353" s="14" t="str">
        <x:v>B2B</x:v>
      </x:c>
      <x:c r="G353" s="14" t="str">
        <x:v>North</x:v>
      </x:c>
      <x:c r="H353" s="14" t="n">
        <x:v>509735</x:v>
      </x:c>
      <x:c r="I353" s="14" t="n">
        <x:v>4013</x:v>
      </x:c>
      <x:c r="J353" s="14" t="n">
        <x:v>181</x:v>
      </x:c>
      <x:c r="K353" s="14" t="n">
        <x:v>19</x:v>
      </x:c>
      <x:c r="L353" s="15" t="n">
        <x:v>27644.35</x:v>
      </x:c>
      <x:c r="M353" s="15" t="n">
        <x:v>22879.77</x:v>
      </x:c>
    </x:row>
    <x:row r="354">
      <x:c r="A354" s="13" t="n">
        <x:v>45778</x:v>
      </x:c>
      <x:c r="B354" s="14" t="str">
        <x:v>CMP030</x:v>
      </x:c>
      <x:c r="C354" s="14" t="str">
        <x:v>Video_Retargeting_05</x:v>
      </x:c>
      <x:c r="D354" s="14" t="str">
        <x:v>Video</x:v>
      </x:c>
      <x:c r="E354" s="14" t="str">
        <x:v>Retargeting</x:v>
      </x:c>
      <x:c r="F354" s="14" t="str">
        <x:v>B2B</x:v>
      </x:c>
      <x:c r="G354" s="14" t="str">
        <x:v>North</x:v>
      </x:c>
      <x:c r="H354" s="14" t="n">
        <x:v>437699</x:v>
      </x:c>
      <x:c r="I354" s="14" t="n">
        <x:v>3235</x:v>
      </x:c>
      <x:c r="J354" s="14" t="n">
        <x:v>126</x:v>
      </x:c>
      <x:c r="K354" s="14" t="n">
        <x:v>11</x:v>
      </x:c>
      <x:c r="L354" s="15" t="n">
        <x:v>23892.85</x:v>
      </x:c>
      <x:c r="M354" s="15" t="n">
        <x:v>12058.27</x:v>
      </x:c>
    </x:row>
    <x:row r="355">
      <x:c r="A355" s="13" t="n">
        <x:v>45809</x:v>
      </x:c>
      <x:c r="B355" s="14" t="str">
        <x:v>CMP030</x:v>
      </x:c>
      <x:c r="C355" s="14" t="str">
        <x:v>Video_Retargeting_05</x:v>
      </x:c>
      <x:c r="D355" s="14" t="str">
        <x:v>Video</x:v>
      </x:c>
      <x:c r="E355" s="14" t="str">
        <x:v>Retargeting</x:v>
      </x:c>
      <x:c r="F355" s="14" t="str">
        <x:v>B2B</x:v>
      </x:c>
      <x:c r="G355" s="14" t="str">
        <x:v>North</x:v>
      </x:c>
      <x:c r="H355" s="14" t="n">
        <x:v>417442</x:v>
      </x:c>
      <x:c r="I355" s="14" t="n">
        <x:v>3685</x:v>
      </x:c>
      <x:c r="J355" s="14" t="n">
        <x:v>157</x:v>
      </x:c>
      <x:c r="K355" s="14" t="n">
        <x:v>15</x:v>
      </x:c>
      <x:c r="L355" s="15" t="n">
        <x:v>23275.29</x:v>
      </x:c>
      <x:c r="M355" s="15" t="n">
        <x:v>15603.65</x:v>
      </x:c>
    </x:row>
    <x:row r="356">
      <x:c r="A356" s="13" t="n">
        <x:v>45839</x:v>
      </x:c>
      <x:c r="B356" s="14" t="str">
        <x:v>CMP030</x:v>
      </x:c>
      <x:c r="C356" s="14" t="str">
        <x:v>Video_Retargeting_05</x:v>
      </x:c>
      <x:c r="D356" s="14" t="str">
        <x:v>Video</x:v>
      </x:c>
      <x:c r="E356" s="14" t="str">
        <x:v>Retargeting</x:v>
      </x:c>
      <x:c r="F356" s="14" t="str">
        <x:v>B2B</x:v>
      </x:c>
      <x:c r="G356" s="14" t="str">
        <x:v>North</x:v>
      </x:c>
      <x:c r="H356" s="14" t="n">
        <x:v>436107</x:v>
      </x:c>
      <x:c r="I356" s="14" t="n">
        <x:v>4060</x:v>
      </x:c>
      <x:c r="J356" s="14" t="n">
        <x:v>159</x:v>
      </x:c>
      <x:c r="K356" s="14" t="n">
        <x:v>15</x:v>
      </x:c>
      <x:c r="L356" s="15" t="n">
        <x:v>23720.87</x:v>
      </x:c>
      <x:c r="M356" s="15" t="n">
        <x:v>16519.22</x:v>
      </x:c>
    </x:row>
    <x:row r="357">
      <x:c r="A357" s="13" t="n">
        <x:v>45870</x:v>
      </x:c>
      <x:c r="B357" s="14" t="str">
        <x:v>CMP030</x:v>
      </x:c>
      <x:c r="C357" s="14" t="str">
        <x:v>Video_Retargeting_05</x:v>
      </x:c>
      <x:c r="D357" s="14" t="str">
        <x:v>Video</x:v>
      </x:c>
      <x:c r="E357" s="14" t="str">
        <x:v>Retargeting</x:v>
      </x:c>
      <x:c r="F357" s="14" t="str">
        <x:v>B2B</x:v>
      </x:c>
      <x:c r="G357" s="14" t="str">
        <x:v>North</x:v>
      </x:c>
      <x:c r="H357" s="14" t="n">
        <x:v>424370</x:v>
      </x:c>
      <x:c r="I357" s="14" t="n">
        <x:v>4367</x:v>
      </x:c>
      <x:c r="J357" s="14" t="n">
        <x:v>210</x:v>
      </x:c>
      <x:c r="K357" s="14" t="n">
        <x:v>25</x:v>
      </x:c>
      <x:c r="L357" s="15" t="n">
        <x:v>23031.07</x:v>
      </x:c>
      <x:c r="M357" s="15" t="n">
        <x:v>29141.46</x:v>
      </x:c>
    </x:row>
    <x:row r="358">
      <x:c r="A358" s="13" t="n">
        <x:v>45901</x:v>
      </x:c>
      <x:c r="B358" s="14" t="str">
        <x:v>CMP030</x:v>
      </x:c>
      <x:c r="C358" s="14" t="str">
        <x:v>Video_Retargeting_05</x:v>
      </x:c>
      <x:c r="D358" s="14" t="str">
        <x:v>Video</x:v>
      </x:c>
      <x:c r="E358" s="14" t="str">
        <x:v>Retargeting</x:v>
      </x:c>
      <x:c r="F358" s="14" t="str">
        <x:v>B2B</x:v>
      </x:c>
      <x:c r="G358" s="14" t="str">
        <x:v>North</x:v>
      </x:c>
      <x:c r="H358" s="14" t="n">
        <x:v>391445</x:v>
      </x:c>
      <x:c r="I358" s="14" t="n">
        <x:v>3062</x:v>
      </x:c>
      <x:c r="J358" s="14" t="n">
        <x:v>119</x:v>
      </x:c>
      <x:c r="K358" s="14" t="n">
        <x:v>11</x:v>
      </x:c>
      <x:c r="L358" s="15" t="n">
        <x:v>22920.65</x:v>
      </x:c>
      <x:c r="M358" s="15" t="n">
        <x:v>11536.23</x:v>
      </x:c>
    </x:row>
    <x:row r="359">
      <x:c r="A359" s="13" t="n">
        <x:v>45931</x:v>
      </x:c>
      <x:c r="B359" s="14" t="str">
        <x:v>CMP030</x:v>
      </x:c>
      <x:c r="C359" s="14" t="str">
        <x:v>Video_Retargeting_05</x:v>
      </x:c>
      <x:c r="D359" s="14" t="str">
        <x:v>Video</x:v>
      </x:c>
      <x:c r="E359" s="14" t="str">
        <x:v>Retargeting</x:v>
      </x:c>
      <x:c r="F359" s="14" t="str">
        <x:v>B2B</x:v>
      </x:c>
      <x:c r="G359" s="14" t="str">
        <x:v>North</x:v>
      </x:c>
      <x:c r="H359" s="14" t="n">
        <x:v>440824</x:v>
      </x:c>
      <x:c r="I359" s="14" t="n">
        <x:v>3942</x:v>
      </x:c>
      <x:c r="J359" s="14" t="n">
        <x:v>140</x:v>
      </x:c>
      <x:c r="K359" s="14" t="n">
        <x:v>12</x:v>
      </x:c>
      <x:c r="L359" s="15" t="n">
        <x:v>26069.45</x:v>
      </x:c>
      <x:c r="M359" s="15" t="n">
        <x:v>13090.56</x:v>
      </x:c>
    </x:row>
    <x:row r="360">
      <x:c r="A360" s="13" t="n">
        <x:v>45962</x:v>
      </x:c>
      <x:c r="B360" s="14" t="str">
        <x:v>CMP030</x:v>
      </x:c>
      <x:c r="C360" s="14" t="str">
        <x:v>Video_Retargeting_05</x:v>
      </x:c>
      <x:c r="D360" s="14" t="str">
        <x:v>Video</x:v>
      </x:c>
      <x:c r="E360" s="14" t="str">
        <x:v>Retargeting</x:v>
      </x:c>
      <x:c r="F360" s="14" t="str">
        <x:v>B2B</x:v>
      </x:c>
      <x:c r="G360" s="14" t="str">
        <x:v>North</x:v>
      </x:c>
      <x:c r="H360" s="14" t="n">
        <x:v>482859</x:v>
      </x:c>
      <x:c r="I360" s="14" t="n">
        <x:v>3866</x:v>
      </x:c>
      <x:c r="J360" s="14" t="n">
        <x:v>139</x:v>
      </x:c>
      <x:c r="K360" s="14" t="n">
        <x:v>12</x:v>
      </x:c>
      <x:c r="L360" s="15" t="n">
        <x:v>29761.74</x:v>
      </x:c>
      <x:c r="M360" s="15" t="n">
        <x:v>15027.24</x:v>
      </x:c>
    </x:row>
    <x:row r="361">
      <x:c r="A361" s="13" t="n">
        <x:v>45992</x:v>
      </x:c>
      <x:c r="B361" s="14" t="str">
        <x:v>CMP030</x:v>
      </x:c>
      <x:c r="C361" s="14" t="str">
        <x:v>Video_Retargeting_05</x:v>
      </x:c>
      <x:c r="D361" s="14" t="str">
        <x:v>Video</x:v>
      </x:c>
      <x:c r="E361" s="14" t="str">
        <x:v>Retargeting</x:v>
      </x:c>
      <x:c r="F361" s="14" t="str">
        <x:v>B2B</x:v>
      </x:c>
      <x:c r="G361" s="14" t="str">
        <x:v>North</x:v>
      </x:c>
      <x:c r="H361" s="14" t="n">
        <x:v>455636</x:v>
      </x:c>
      <x:c r="I361" s="14" t="n">
        <x:v>4546</x:v>
      </x:c>
      <x:c r="J361" s="14" t="n">
        <x:v>179</x:v>
      </x:c>
      <x:c r="K361" s="14" t="n">
        <x:v>16</x:v>
      </x:c>
      <x:c r="L361" s="15" t="n">
        <x:v>28257.72</x:v>
      </x:c>
      <x:c r="M361" s="15" t="n">
        <x:v>19545.98</x:v>
      </x:c>
    </x:row>
  </x:sheetData>
  <x:pageMargins left="0.7" right="0.7" top="0.75" bottom="0.75" header="0.3" footer="0.3"/>
  <x:tableParts count="1">
    <x:tablePart xmlns:r="http://schemas.openxmlformats.org/officeDocument/2006/relationships" r:id="Ra34ebe5e2e27401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58" hidden="0" customWidth="1"/>
    <x:col min="4" max="4" width="48" hidden="0" customWidth="1"/>
  </x:cols>
  <x:sheetData>
    <x:row r="1">
      <x:c r="A1" s="82" t="str">
        <x:v>Source / Reference</x:v>
      </x:c>
      <x:c r="B1" s="82" t="str">
        <x:v>Purpose</x:v>
      </x:c>
      <x:c r="C1" s="82" t="str">
        <x:v>URL</x:v>
      </x:c>
      <x:c r="D1" s="82" t="str">
        <x:v>Notes</x:v>
      </x:c>
    </x:row>
    <x:row r="2">
      <x:c r="A2" s="83" t="str">
        <x:v>Analytics Engineering — Marketing Campaigns dataset</x:v>
      </x:c>
      <x:c r="B2" s="83" t="str">
        <x:v>Schema reference / public benchmark structure</x:v>
      </x:c>
      <x:c r="C2" s="83" t="str">
        <x:v>https://www.analyticsengineering.com/datasets/marketing-campaigns</x:v>
      </x:c>
      <x:c r="D2" s="83" t="str">
        <x:v>Used as schema reference; delivered dataset is self-contained and deterministic.</x:v>
      </x:c>
    </x:row>
    <x:row r="3">
      <x:c r="A3" s="83" t="str">
        <x:v>Kaggle — Digital Marketing Metrics &amp; KPIs to Measure (SQL)</x:v>
      </x:c>
      <x:c r="B3" s="83" t="str">
        <x:v>Metric definitions / funnel structure</x:v>
      </x:c>
      <x:c r="C3" s="83" t="str">
        <x:v>https://www.kaggle.com/datasets/sinderpreet/analyze-the-marketing-spending/versions/1</x:v>
      </x:c>
      <x:c r="D3" s="83" t="str">
        <x:v>Public example with impressions, budget, clicks, leads, orders and revenue.</x:v>
      </x:c>
    </x:row>
    <x:row r="4">
      <x:c r="A4" s="83" t="str">
        <x:v>Project dataset</x:v>
      </x:c>
      <x:c r="B4" s="83" t="str">
        <x:v>Analysis data</x:v>
      </x:c>
      <x:c r="C4" s="83" t="str">
        <x:v>Local project data/</x:v>
      </x:c>
      <x:c r="D4" s="83" t="str">
        <x:v>Synthetic, self-contained portfolio data generated for reproducible analysis.</x:v>
      </x:c>
    </x:row>
  </x:sheetData>
  <x:pageMargins left="0.7" right="0.7" top="0.75" bottom="0.75" header="0.3" footer="0.3"/>
</x:worksheet>
</file>